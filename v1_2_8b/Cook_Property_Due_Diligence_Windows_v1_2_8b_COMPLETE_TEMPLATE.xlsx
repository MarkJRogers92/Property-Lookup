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7fd824f9c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f641c8ef5fcb45fc"/>
    <x:sheet xmlns:r="http://schemas.openxmlformats.org/officeDocument/2006/relationships" name="Property" sheetId="2" r:id="R50495308d09f447a"/>
    <x:sheet xmlns:r="http://schemas.openxmlformats.org/officeDocument/2006/relationships" name="Assessment" sheetId="3" r:id="R44b241fcc6bc4f93"/>
    <x:sheet xmlns:r="http://schemas.openxmlformats.org/officeDocument/2006/relationships" name="Tax History" sheetId="4" r:id="R428be0dac52e4c51"/>
    <x:sheet xmlns:r="http://schemas.openxmlformats.org/officeDocument/2006/relationships" name="Sales-Deeds" sheetId="5" r:id="R1d45f8aa105d4652"/>
    <x:sheet xmlns:r="http://schemas.openxmlformats.org/officeDocument/2006/relationships" name="Appeals" sheetId="6" r:id="Ra7dfdcc9214749fe"/>
    <x:sheet xmlns:r="http://schemas.openxmlformats.org/officeDocument/2006/relationships" name="Incentives" sheetId="7" r:id="R742ecdbaaccf41e7"/>
    <x:sheet xmlns:r="http://schemas.openxmlformats.org/officeDocument/2006/relationships" name="Permits" sheetId="8" r:id="Rcd0f3dd31767435d"/>
    <x:sheet xmlns:r="http://schemas.openxmlformats.org/officeDocument/2006/relationships" name="Issues" sheetId="9" r:id="R46cf3d43e5ab4d16"/>
    <x:sheet xmlns:r="http://schemas.openxmlformats.org/officeDocument/2006/relationships" name="Sources" sheetId="10" r:id="Ree7c4b62833d4a43"/>
    <x:sheet xmlns:r="http://schemas.openxmlformats.org/officeDocument/2006/relationships" name="Report" sheetId="11" r:id="R787f343971774c94"/>
    <x:sheet xmlns:r="http://schemas.openxmlformats.org/officeDocument/2006/relationships" name="Config" sheetId="12" r:id="Re43f59087f924f10"/>
    <x:sheet xmlns:r="http://schemas.openxmlformats.org/officeDocument/2006/relationships" name="Documents" sheetId="13" r:id="Rfdbc7c01a0fe40be"/>
    <x:sheet xmlns:r="http://schemas.openxmlformats.org/officeDocument/2006/relationships" name="Instructions" sheetId="14" r:id="R03d744c5f5bc4456"/>
    <x:sheet xmlns:r="http://schemas.openxmlformats.org/officeDocument/2006/relationships" name="Tax Detail" sheetId="15" r:id="Re2c5a709dea54c02"/>
    <x:sheet xmlns:r="http://schemas.openxmlformats.org/officeDocument/2006/relationships" name="Executive Summary" sheetId="16" r:id="R923f9a79da5344c6"/>
    <x:sheet xmlns:r="http://schemas.openxmlformats.org/officeDocument/2006/relationships" name="Appeal Report" sheetId="17" r:id="Rf7be5653e8f64e57"/>
    <x:sheet xmlns:r="http://schemas.openxmlformats.org/officeDocument/2006/relationships" name="Tax Intelligence Report" sheetId="18" r:id="Rb63f7cb70eb84ca6"/>
  </x:sheets>
</x:workbook>
</file>

<file path=xl/sharedStrings.xml><?xml version="1.0" encoding="utf-8"?>
<x:sst xmlns:x="http://schemas.openxmlformats.org/spreadsheetml/2006/main">
  <x:si>
    <x:t xml:space="preserve">COOK COUNTY PROPERTY DUE DILIGENCE</x:t>
  </x:si>
  <x:si>
    <x:t xml:space="preserve">Cook County PIN</x:t>
  </x:si>
  <x:si>
    <x:t xml:space="preserve">Enter a Cook County PIN. v1.2.1 keeps Board of Review history from the official Cook County BOR dataset and uses only the Illinois PTAB website as an extra appeal-status lookup.</x:t>
  </x:si>
  <x:si>
    <x:t xml:space="preserve">Run</x:t>
  </x:si>
  <x:si>
    <x:t xml:space="preserve">Windows: click the blue button to run. No external helper is required.</x:t>
  </x:si>
  <x:si>
    <x:t xml:space="preserve">SOURCE STATUS</x:t>
  </x:si>
  <x:si>
    <x:t xml:space="preserve">Source</x:t>
  </x:si>
  <x:si>
    <x:t xml:space="preserve">Status</x:t>
  </x:si>
  <x:si>
    <x:t xml:space="preserve">Last Progress</x:t>
  </x:si>
  <x:si>
    <x:t xml:space="preserve">Notes</x:t>
  </x:si>
  <x:si>
    <x:t xml:space="preserve">Source Date/Layer</x:t>
  </x:si>
  <x:si>
    <x:t xml:space="preserve">Official URL</x:t>
  </x:si>
  <x:si>
    <x:t xml:space="preserve">Required?</x:t>
  </x:si>
  <x:si>
    <x:t xml:space="preserve">Adapter</x:t>
  </x:si>
  <x:si>
    <x:t xml:space="preserve">Assessor Addresses</x:t>
  </x:si>
  <x:si>
    <x:t xml:space="preserve">Current / bi-weekly</x:t>
  </x:si>
  <x:si>
    <x:t xml:space="preserve">https://datacatalog.cookcountyil.gov/d/3723-97qp</x:t>
  </x:si>
  <x:si>
    <x:t xml:space="preserve">Yes</x:t>
  </x:si>
  <x:si>
    <x:t xml:space="preserve">Socrata CSV</x:t>
  </x:si>
  <x:si>
    <x:t xml:space="preserve">Parcel Universe</x:t>
  </x:si>
  <x:si>
    <x:t xml:space="preserve">Current year / bi-weekly</x:t>
  </x:si>
  <x:si>
    <x:t xml:space="preserve">https://datacatalog.cookcountyil.gov/d/pabr-t5kh</x:t>
  </x:si>
  <x:si>
    <x:t xml:space="preserve">Assessed Values</x:t>
  </x:si>
  <x:si>
    <x:t xml:space="preserve">1999-present</x:t>
  </x:si>
  <x:si>
    <x:t xml:space="preserve">https://datacatalog.cookcountyil.gov/d/uzyt-m557</x:t>
  </x:si>
  <x:si>
    <x:t xml:space="preserve">Parcel Sales</x:t>
  </x:si>
  <x:si>
    <x:t xml:space="preserve">https://datacatalog.cookcountyil.gov/d/wvhk-k5uv</x:t>
  </x:si>
  <x:si>
    <x:t xml:space="preserve">Assessor Appeals</x:t>
  </x:si>
  <x:si>
    <x:t xml:space="preserve">1999-present; historical gaps possible</x:t>
  </x:si>
  <x:si>
    <x:t xml:space="preserve">https://datacatalog.cookcountyil.gov/d/y282-6ig3</x:t>
  </x:si>
  <x:si>
    <x:t xml:space="preserve">Board of Review</x:t>
  </x:si>
  <x:si>
    <x:t xml:space="preserve">2010-present</x:t>
  </x:si>
  <x:si>
    <x:t xml:space="preserve">https://datacatalog.cookcountyil.gov/d/7pny-nedm</x:t>
  </x:si>
  <x:si>
    <x:t xml:space="preserve">Permits</x:t>
  </x:si>
  <x:si>
    <x:t xml:space="preserve">Municipality-submitted; incomplete universe</x:t>
  </x:si>
  <x:si>
    <x:t xml:space="preserve">https://datacatalog.cookcountyil.gov/d/6yjf-dfxs</x:t>
  </x:si>
  <x:si>
    <x:t xml:space="preserve">No</x:t>
  </x:si>
  <x:si>
    <x:t xml:space="preserve">Cook County GIS</x:t>
  </x:si>
  <x:si>
    <x:t xml:space="preserve">Current CookViewer parcel layer</x:t>
  </x:si>
  <x:si>
    <x:t xml:space="preserve">https://gis.cookcountyil.gov/traditional/rest/services/CookViewer3Parcels/MapServer/0</x:t>
  </x:si>
  <x:si>
    <x:t xml:space="preserve">ArcGIS REST + current boundary</x:t>
  </x:si>
  <x:si>
    <x:t xml:space="preserve">Property Tax Portal</x:t>
  </x:si>
  <x:si>
    <x:t xml:space="preserve">Live portal / 5-year history</x:t>
  </x:si>
  <x:si>
    <x:t xml:space="preserve">https://www.cookcountypropertyinfo.com/Pages/PIN-Search.aspx</x:t>
  </x:si>
  <x:si>
    <x:t xml:space="preserve">HTML parser</x:t>
  </x:si>
  <x:si>
    <x:t xml:space="preserve">TIF GIS</x:t>
  </x:si>
  <x:si>
    <x:t xml:space="preserve">Current boundary + 2024 detail cross-check</x:t>
  </x:si>
  <x:si>
    <x:t xml:space="preserve">https://gis.cookcountyil.gov/traditional/rest/services/politicalBoundary/MapServer/24</x:t>
  </x:si>
  <x:si>
    <x:t xml:space="preserve">ArcGIS REST (2 layers)</x:t>
  </x:si>
  <x:si>
    <x:t xml:space="preserve">Enterprise Zone</x:t>
  </x:si>
  <x:si>
    <x:t xml:space="preserve">County signal + DCEO verification</x:t>
  </x:si>
  <x:si>
    <x:t xml:space="preserve">https://idor.maps.arcgis.com/apps/webappviewer/index.html?id=f82fc6b62fde435abb41f5f72db2db48</x:t>
  </x:si>
  <x:si>
    <x:t xml:space="preserve">Socrata signal / Manual DCEO</x:t>
  </x:si>
  <x:si>
    <x:t xml:space="preserve">Cook County Treasurer</x:t>
  </x:si>
  <x:si>
    <x:t xml:space="preserve">Official Treasurer manual cross-check</x:t>
  </x:si>
  <x:si>
    <x:t xml:space="preserve">https://www.cookcountytreasurer.com/setsearchparameters.aspx</x:t>
  </x:si>
  <x:si>
    <x:t xml:space="preserve">Manual official-site review; no automated Treasurer session</x:t>
  </x:si>
  <x:si>
    <x:t xml:space="preserve">PTAB Status Check</x:t>
  </x:si>
  <x:si>
    <x:t xml:space="preserve">Official Illinois PTAB status check</x:t>
  </x:si>
  <x:si>
    <x:t xml:space="preserve">https://www.ptab.illinois.gov/asi/</x:t>
  </x:si>
  <x:si>
    <x:t xml:space="preserve">SMART official PTAB website check</x:t>
  </x:si>
  <x:si>
    <x:t xml:space="preserve">PROPERTY SUMMARY</x:t>
  </x:si>
  <x:si>
    <x:t xml:space="preserve">Core parcel, ownership, class and GIS facts</x:t>
  </x:si>
  <x:si>
    <x:t xml:space="preserve">Field</x:t>
  </x:si>
  <x:si>
    <x:t xml:space="preserve">Value</x:t>
  </x:si>
  <x:si>
    <x:t xml:space="preserve">As Of / Layer</x:t>
  </x:si>
  <x:si>
    <x:t xml:space="preserve">PIN</x:t>
  </x:si>
  <x:si>
    <x:t xml:space="preserve">Property Address</x:t>
  </x:si>
  <x:si>
    <x:t xml:space="preserve">Property City / ZIP</x:t>
  </x:si>
  <x:si>
    <x:t xml:space="preserve">Owner Name</x:t>
  </x:si>
  <x:si>
    <x:t xml:space="preserve">Taxpayer / Mailing Name</x:t>
  </x:si>
  <x:si>
    <x:t xml:space="preserve">Mailing Address</x:t>
  </x:si>
  <x:si>
    <x:t xml:space="preserve">Township</x:t>
  </x:si>
  <x:si>
    <x:t xml:space="preserve">Municipality - Tax Record</x:t>
  </x:si>
  <x:si>
    <x:t xml:space="preserve">Municipality - Spatial</x:t>
  </x:si>
  <x:si>
    <x:t xml:space="preserve">Assessor Class</x:t>
  </x:si>
  <x:si>
    <x:t xml:space="preserve">GIS Building Class</x:t>
  </x:si>
  <x:si>
    <x:t xml:space="preserve">Assessor Neighborhood</x:t>
  </x:si>
  <x:si>
    <x:t xml:space="preserve">GIS Neighborhood</x:t>
  </x:si>
  <x:si>
    <x:t xml:space="preserve">Tax Code</x:t>
  </x:si>
  <x:si>
    <x:t xml:space="preserve">Longitude</x:t>
  </x:si>
  <x:si>
    <x:t xml:space="preserve">Latitude</x:t>
  </x:si>
  <x:si>
    <x:t xml:space="preserve">Centroid X (3435)</x:t>
  </x:si>
  <x:si>
    <x:t xml:space="preserve">Centroid Y (3435)</x:t>
  </x:si>
  <x:si>
    <x:t xml:space="preserve">GIS PIN Match</x:t>
  </x:si>
  <x:si>
    <x:t xml:space="preserve">GIS Class Description</x:t>
  </x:si>
  <x:si>
    <x:t xml:space="preserve">GIS Major Class</x:t>
  </x:si>
  <x:si>
    <x:t xml:space="preserve">Lot Size (SqFt)</x:t>
  </x:si>
  <x:si>
    <x:t xml:space="preserve">Building (SqFt)</x:t>
  </x:si>
  <x:si>
    <x:t xml:space="preserve">Building Construction</x:t>
  </x:si>
  <x:si>
    <x:t xml:space="preserve">Building Age</x:t>
  </x:si>
  <x:si>
    <x:t xml:space="preserve">GIS Current Land Value</x:t>
  </x:si>
  <x:si>
    <x:t xml:space="preserve">GIS Current Building Value</x:t>
  </x:si>
  <x:si>
    <x:t xml:space="preserve">GIS Current Total Value</x:t>
  </x:si>
  <x:si>
    <x:t xml:space="preserve">Enterprise Zone (Assessor Signal)</x:t>
  </x:si>
  <x:si>
    <x:t xml:space="preserve">Enterprise Zone (DCEO Verification)</x:t>
  </x:si>
  <x:si>
    <x:t xml:space="preserve">ASSESSMENT HISTORY</x:t>
  </x:si>
  <x:si>
    <x:t xml:space="preserve">Assessor mailed, certified and Board of Review certified assessed values</x:t>
  </x:si>
  <x:si>
    <x:t xml:space="preserve">Tax Year</x:t>
  </x:si>
  <x:si>
    <x:t xml:space="preserve">Class</x:t>
  </x:si>
  <x:si>
    <x:t xml:space="preserve">Mailed Land</x:t>
  </x:si>
  <x:si>
    <x:t xml:space="preserve">Mailed Building</x:t>
  </x:si>
  <x:si>
    <x:t xml:space="preserve">Mailed Total</x:t>
  </x:si>
  <x:si>
    <x:t xml:space="preserve">Certified Land</x:t>
  </x:si>
  <x:si>
    <x:t xml:space="preserve">Certified Building</x:t>
  </x:si>
  <x:si>
    <x:t xml:space="preserve">Certified Total</x:t>
  </x:si>
  <x:si>
    <x:t xml:space="preserve">BOR Land</x:t>
  </x:si>
  <x:si>
    <x:t xml:space="preserve">BOR Building</x:t>
  </x:si>
  <x:si>
    <x:t xml:space="preserve">BOR Total</x:t>
  </x:si>
  <x:si>
    <x:t xml:space="preserve">PROPERTY TAX HISTORY</x:t>
  </x:si>
  <x:si>
    <x:t xml:space="preserve">Property Tax Portal: billed amounts, payment status, composite rates, exemptions and tax-sale/delinquency status</x:t>
  </x:si>
  <x:si>
    <x:t xml:space="preserve">Billed Amount</x:t>
  </x:si>
  <x:si>
    <x:t xml:space="preserve">Payment / Status</x:t>
  </x:si>
  <x:si>
    <x:t xml:space="preserve">Composite Tax Rate</x:t>
  </x:si>
  <x:si>
    <x:t xml:space="preserve">Exemptions</x:t>
  </x:si>
  <x:si>
    <x:t xml:space="preserve">Source Note</x:t>
  </x:si>
  <x:si>
    <x:t xml:space="preserve">Tax Sale / Delinquency</x:t>
  </x:si>
  <x:si>
    <x:t xml:space="preserve">SALES / DEEDS</x:t>
  </x:si>
  <x:si>
    <x:t xml:space="preserve">Assessor parcel sales; Clerk document number retained for recorder follow-up</x:t>
  </x:si>
  <x:si>
    <x:t xml:space="preserve">Sale Date</x:t>
  </x:si>
  <x:si>
    <x:t xml:space="preserve">Sale Price</x:t>
  </x:si>
  <x:si>
    <x:t xml:space="preserve">Document No.</x:t>
  </x:si>
  <x:si>
    <x:t xml:space="preserve">Deed Type</x:t>
  </x:si>
  <x:si>
    <x:t xml:space="preserve">MyDec Deed Type</x:t>
  </x:si>
  <x:si>
    <x:t xml:space="preserve">Buyer</x:t>
  </x:si>
  <x:si>
    <x:t xml:space="preserve">Seller</x:t>
  </x:si>
  <x:si>
    <x:t xml:space="preserve">Multi-PIN?</x:t>
  </x:si>
  <x:si>
    <x:t xml:space="preserve"># Parcels</x:t>
  </x:si>
  <x:si>
    <x:t xml:space="preserve">APPEAL / ADMINISTRATIVE REVIEW HISTORY</x:t>
  </x:si>
  <x:si>
    <x:t xml:space="preserve">Cook County Assessor appeals, official Cook County Board of Review decision history, and Illinois PTAB status</x:t>
  </x:si>
  <x:si>
    <x:t xml:space="preserve">Level</x:t>
  </x:si>
  <x:si>
    <x:t xml:space="preserve">Case / Complaint</x:t>
  </x:si>
  <x:si>
    <x:t xml:space="preserve">Type</x:t>
  </x:si>
  <x:si>
    <x:t xml:space="preserve">Before Total AV</x:t>
  </x:si>
  <x:si>
    <x:t xml:space="preserve">After Total AV</x:t>
  </x:si>
  <x:si>
    <x:t xml:space="preserve">Change</x:t>
  </x:si>
  <x:si>
    <x:t xml:space="preserve">Source Note / Official Link</x:t>
  </x:si>
  <x:si>
    <x:t xml:space="preserve">INCENTIVES / DISTRICTS</x:t>
  </x:si>
  <x:si>
    <x:t xml:space="preserve">TIF, Enterprise Zone and other incentive/geographic checks</x:t>
  </x:si>
  <x:si>
    <x:t xml:space="preserve">Program / District</x:t>
  </x:si>
  <x:si>
    <x:t xml:space="preserve">Result</x:t>
  </x:si>
  <x:si>
    <x:t xml:space="preserve">Name / Identifier</x:t>
  </x:si>
  <x:si>
    <x:t xml:space="preserve">Data Year / Layer</x:t>
  </x:si>
  <x:si>
    <x:t xml:space="preserve">Verification</x:t>
  </x:si>
  <x:si>
    <x:t xml:space="preserve">Source URL</x:t>
  </x:si>
  <x:si>
    <x:t xml:space="preserve">PERMIT HISTORY</x:t>
  </x:si>
  <x:si>
    <x:t xml:space="preserve">Permits known to the Cook County Assessor; municipal reporting may be incomplete</x:t>
  </x:si>
  <x:si>
    <x:t xml:space="preserve">Issued Date</x:t>
  </x:si>
  <x:si>
    <x:t xml:space="preserve">Year</x:t>
  </x:si>
  <x:si>
    <x:t xml:space="preserve">Local Permit No.</x:t>
  </x:si>
  <x:si>
    <x:t xml:space="preserve">CCAO Permit No.</x:t>
  </x:si>
  <x:si>
    <x:t xml:space="preserve">Assessable?</x:t>
  </x:si>
  <x:si>
    <x:t xml:space="preserve">Amount</x:t>
  </x:si>
  <x:si>
    <x:t xml:space="preserve">Municipality</x:t>
  </x:si>
  <x:si>
    <x:t xml:space="preserve">Applicant</x:t>
  </x:si>
  <x:si>
    <x:t xml:space="preserve">Work Description</x:t>
  </x:si>
  <x:si>
    <x:t xml:space="preserve">ISSUES / ITEMS TO VERIFY</x:t>
  </x:si>
  <x:si>
    <x:t xml:space="preserve">The macro should flag uncertainty rather than choose silently between conflicting public records</x:t>
  </x:si>
  <x:si>
    <x:t xml:space="preserve">Priority</x:t>
  </x:si>
  <x:si>
    <x:t xml:space="preserve">Issue</x:t>
  </x:si>
  <x:si>
    <x:t xml:space="preserve">Source(s)</x:t>
  </x:si>
  <x:si>
    <x:t xml:space="preserve">Recommended Verification</x:t>
  </x:si>
  <x:si>
    <x:t xml:space="preserve">OFFICIAL SOURCES</x:t>
  </x:si>
  <x:si>
    <x:t xml:space="preserve">Source registry used by the standalone workbook</x:t>
  </x:si>
  <x:si>
    <x:t xml:space="preserve">Purpose</x:t>
  </x:si>
  <x:si>
    <x:t xml:space="preserve">Adapter Notes</x:t>
  </x:si>
  <x:si>
    <x:t xml:space="preserve">Cook County Assessor - Parcel Addresses</x:t>
  </x:si>
  <x:si>
    <x:t xml:space="preserve">Situs, owner, taxpayer and mailing address</x:t>
  </x:si>
  <x:si>
    <x:t xml:space="preserve">Socrata CSV. v1.0.8 normalizes CR/LF line endings before parsing; owner/mailing records may lag title activity.</x:t>
  </x:si>
  <x:si>
    <x:t xml:space="preserve">Cook County Assessor - Parcel Universe (Current Year)</x:t>
  </x:si>
  <x:si>
    <x:t xml:space="preserve">Current class, township, neighborhood, centroid, tax code (secondary), and Cook County Assessor Enterprise Zone spatial signal</x:t>
  </x:si>
  <x:si>
    <x:t xml:space="preserve">Current view is retried once; official historical Parcel Universe is the fallback. Line endings are normalized before CSV parsing.</x:t>
  </x:si>
  <x:si>
    <x:t xml:space="preserve">Cook County Assessor - Assessed Values</x:t>
  </x:si>
  <x:si>
    <x:t xml:space="preserve">Historical mailed/certified/BOR assessed values</x:t>
  </x:si>
  <x:si>
    <x:t xml:space="preserve">Socrata CSV; 1999-present.</x:t>
  </x:si>
  <x:si>
    <x:t xml:space="preserve">Cook County Assessor - Parcel Sales</x:t>
  </x:si>
  <x:si>
    <x:t xml:space="preserve">Sale dates/prices, deed types, buyer/seller and document numbers</x:t>
  </x:si>
  <x:si>
    <x:t xml:space="preserve">Socrata CSV; recording/sale data can lag.</x:t>
  </x:si>
  <x:si>
    <x:t xml:space="preserve">Cook County Assessor - Appeals</x:t>
  </x:si>
  <x:si>
    <x:t xml:space="preserve">Assessor appeal history and pre/post values</x:t>
  </x:si>
  <x:si>
    <x:t xml:space="preserve">Older appeal descriptive fields may be sparse.</x:t>
  </x:si>
  <x:si>
    <x:t xml:space="preserve">Cook County Board of Review - Appeal Decision History</x:t>
  </x:si>
  <x:si>
    <x:t xml:space="preserve">BOR complaints and assessor/BOR certified values</x:t>
  </x:si>
  <x:si>
    <x:t xml:space="preserve">Live schema verified August 2026; 2010-present.</x:t>
  </x:si>
  <x:si>
    <x:t xml:space="preserve">Cook County Assessor - Permits</x:t>
  </x:si>
  <x:si>
    <x:t xml:space="preserve">Municipality-submitted permit history known to Assessor</x:t>
  </x:si>
  <x:si>
    <x:t xml:space="preserve">Not a complete universe of municipal permits.</x:t>
  </x:si>
  <x:si>
    <x:t xml:space="preserve">CookViewer Parcels Current</x:t>
  </x:si>
  <x:si>
    <x:t xml:space="preserve">Current GIS class, class description, building/land SF, construction, neighborhood, current value fields</x:t>
  </x:si>
  <x:si>
    <x:t xml:space="preserve">ArcGIS values are read only from the first returned attributes object using brace-depth/string-aware extraction.</x:t>
  </x:si>
  <x:si>
    <x:t xml:space="preserve">Cook County Municipality Boundary</x:t>
  </x:si>
  <x:si>
    <x:t xml:space="preserve">Current spatial municipality point-in-polygon</x:t>
  </x:si>
  <x:si>
    <x:t xml:space="preserve">https://gis.cookcountyil.gov/traditional/rest/services/politicalBoundary/MapServer/2</x:t>
  </x:si>
  <x:si>
    <x:t xml:space="preserve">Cook County GIS-maintained boundary; CRS 3435.</x:t>
  </x:si>
  <x:si>
    <x:t xml:space="preserve">Cook County Property Tax Portal</x:t>
  </x:si>
  <x:si>
    <x:t xml:space="preserve">Current composite tax rate, tax code, billed history, payment status, exemptions, tax-sale/delinquency status, property cross-checks, and recent recorded-document index</x:t>
  </x:si>
  <x:si>
    <x:t xml:space="preserve">Windows uses the tested Portal session/cookie request. Tax history and document index were populated in the live regression run.</x:t>
  </x:si>
  <x:si>
    <x:t xml:space="preserve">Cook County Current TIF Boundary</x:t>
  </x:si>
  <x:si>
    <x:t xml:space="preserve">Current TIF boundary point-in-polygon</x:t>
  </x:si>
  <x:si>
    <x:t xml:space="preserve">Primary TIF boundary signal; maintained in politicalBoundary service.</x:t>
  </x:si>
  <x:si>
    <x:t xml:space="preserve">Cook County TIF Revenue/Detail Layer</x:t>
  </x:si>
  <x:si>
    <x:t xml:space="preserve">TIF name, municipality, first year and 2024 revenue detail</x:t>
  </x:si>
  <x:si>
    <x:t xml:space="preserve">https://gis.cookcountyil.gov/traditional/rest/services/tifSrvc/MapServer/3</x:t>
  </x:si>
  <x:si>
    <x:t xml:space="preserve">Secondary TIF cross-check; layer labeled 2024.</x:t>
  </x:si>
  <x:si>
    <x:t xml:space="preserve">Illinois DCEO Enterprise Zone</x:t>
  </x:si>
  <x:si>
    <x:t xml:space="preserve">Authoritative Enterprise Zone boundary verification</x:t>
  </x:si>
  <x:si>
    <x:t xml:space="preserve">https://dceo.illinois.gov/expandrelocate/incentives/taxassistance/enterprisezone.html</x:t>
  </x:si>
  <x:si>
    <x:t xml:space="preserve">v1.0.4 automatically surfaces the Cook County Assessor signal, but the final boundary check remains manual in the official DCEO map.</x:t>
  </x:si>
  <x:si>
    <x:t xml:space="preserve">Cook County Assessor Class Codes</x:t>
  </x:si>
  <x:si>
    <x:t xml:space="preserve">Property class-code definitions</x:t>
  </x:si>
  <x:si>
    <x:t xml:space="preserve">https://rpie.cookcountyassessor.com/form-document/codes-classification-property</x:t>
  </x:si>
  <x:si>
    <x:t xml:space="preserve">Reference / verification.</x:t>
  </x:si>
  <x:si>
    <x:t xml:space="preserve">Cook County Assessor - Parcel Universe Source Code</x:t>
  </x:si>
  <x:si>
    <x:t xml:space="preserve">Production dbt definitions confirming the current-year view inherits the historical field set, including Enterprise Zone number/data year</x:t>
  </x:si>
  <x:si>
    <x:t xml:space="preserve">https://github.com/ccao-data/data-architecture/blob/master/dbt/models/open_data/open_data.vw_parcel_universe_current.sql</x:t>
  </x:si>
  <x:si>
    <x:t xml:space="preserve">Current-year view SELECTs all columns from open_data.vw_parcel_universe_historical; historical source explicitly includes econ_enterprise_zone_num and econ_enterprise_zone_data_year.</x:t>
  </x:si>
  <x:si>
    <x:t xml:space="preserve">Cook County Treasurer - Your Property Tax Overview</x:t>
  </x:si>
  <x:si>
    <x:t xml:space="preserve">Manual review of Property Overview and the dedicated 20-Year Tax Bill History in the same Treasurer session</x:t>
  </x:si>
  <x:si>
    <x:t xml:space="preserve">Open the official PIN search, confirm the Overview PIN, then review the 20-Year History within that same session.</x:t>
  </x:si>
  <x:si>
    <x:t xml:space="preserve">Illinois Property Tax Appeal Board - Appeal Status Inquiry</x:t>
  </x:si>
  <x:si>
    <x:t xml:space="preserve">PTAB docket/status lookup by PIN; appends PTAB status rows to Appeals when dockets are found</x:t>
  </x:si>
  <x:si>
    <x:t xml:space="preserve">SMART PTAB-only website search. Board of Review history comes from the official Cook County BOR dataset instead of the CAPTCHA-protected live site.</x:t>
  </x:si>
  <x:si>
    <x:t xml:space="preserve">COOK COUNTY PROPERTY DUE DILIGENCE REPORT</x:t>
  </x:si>
  <x:si>
    <x:t xml:space="preserve">Generated from public records; verify before reliance</x:t>
  </x:si>
  <x:si>
    <x:t xml:space="preserve">SUBJECT PROPERTY</x:t>
  </x:si>
  <x:si>
    <x:t xml:space="preserve">Owner</x:t>
  </x:si>
  <x:si>
    <x:t xml:space="preserve">Address</x:t>
  </x:si>
  <x:si>
    <x:t xml:space="preserve">Taxpayer</x:t>
  </x:si>
  <x:si>
    <x:t xml:space="preserve">Current Tax Rate</x:t>
  </x:si>
  <x:si>
    <x:t xml:space="preserve">Latest Billed Tax</x:t>
  </x:si>
  <x:si>
    <x:t xml:space="preserve">TIF</x:t>
  </x:si>
  <x:si>
    <x:t xml:space="preserve">Report Date</x:t>
  </x:si>
  <x:si>
    <x:t xml:space="preserve">KEY ISSUES / ITEMS TO VERIFY</x:t>
  </x:si>
  <x:si>
    <x:t xml:space="preserve">SOURCE NOTES</x:t>
  </x:si>
  <x:si>
    <x:t xml:space="preserve">Public-record information can be incomplete, delayed, or inconsistent across Cook County systems. v1.2.1 uses the official Cook County Board of Review decision-history dataset for BOR appeal history and uses only the Illinois PTAB Appeal Status Inquiry as an additional appeal-site lookup.</x:t>
  </x:si>
  <x:si>
    <x:t xml:space="preserve">CONFIGURATION</x:t>
  </x:si>
  <x:si>
    <x:t xml:space="preserve">Adapter endpoints and behavior; intended for Windows Excel</x:t>
  </x:si>
  <x:si>
    <x:t xml:space="preserve">Setting</x:t>
  </x:si>
  <x:si>
    <x:t xml:space="preserve">Do not change unless needed</x:t>
  </x:si>
  <x:si>
    <x:t xml:space="preserve">HTTP Timeout (ms)</x:t>
  </x:si>
  <x:si>
    <x:t xml:space="preserve">Per-source hard timeout</x:t>
  </x:si>
  <x:si>
    <x:t xml:space="preserve">One dead source should not freeze the run.</x:t>
  </x:si>
  <x:si>
    <x:t xml:space="preserve">Assessment Years</x:t>
  </x:si>
  <x:si>
    <x:t xml:space="preserve">Assessment history rows</x:t>
  </x:si>
  <x:si>
    <x:t xml:space="preserve">Sales Limit</x:t>
  </x:si>
  <x:si>
    <x:t xml:space="preserve">Maximum sales rows</x:t>
  </x:si>
  <x:si>
    <x:t xml:space="preserve">Appeals Limit</x:t>
  </x:si>
  <x:si>
    <x:t xml:space="preserve">Maximum Assessor appeal rows</x:t>
  </x:si>
  <x:si>
    <x:t xml:space="preserve">BOR Limit</x:t>
  </x:si>
  <x:si>
    <x:t xml:space="preserve">Maximum BOR rows</x:t>
  </x:si>
  <x:si>
    <x:t xml:space="preserve">Permits Limit</x:t>
  </x:si>
  <x:si>
    <x:t xml:space="preserve">Maximum permit rows</x:t>
  </x:si>
  <x:si>
    <x:t xml:space="preserve">GIS Current Parcel URL</x:t>
  </x:si>
  <x:si>
    <x:t xml:space="preserve">CookViewer current parcel layer</x:t>
  </x:si>
  <x:si>
    <x:t xml:space="preserve">Direct current CookViewer parcel feature layer; preferred over label-service wrapper.</x:t>
  </x:si>
  <x:si>
    <x:t xml:space="preserve">Spatial Municipality URL</x:t>
  </x:si>
  <x:si>
    <x:t xml:space="preserve">Municipality boundary layer</x:t>
  </x:si>
  <x:si>
    <x:t xml:space="preserve">Point-in-polygon using parcel centroid CRS 3435.</x:t>
  </x:si>
  <x:si>
    <x:t xml:space="preserve">TIF Current Boundary URL</x:t>
  </x:si>
  <x:si>
    <x:t xml:space="preserve">Current TIF boundary layer</x:t>
  </x:si>
  <x:si>
    <x:t xml:space="preserve">Primary TIF signal.</x:t>
  </x:si>
  <x:si>
    <x:t xml:space="preserve">TIF Detail URL</x:t>
  </x:si>
  <x:si>
    <x:t xml:space="preserve">TIF 2024 revenue/detail layer</x:t>
  </x:si>
  <x:si>
    <x:t xml:space="preserve">Secondary signal / TIF name detail.</x:t>
  </x:si>
  <x:si>
    <x:t xml:space="preserve">DCEO Enterprise Zone App</x:t>
  </x:si>
  <x:si>
    <x:t xml:space="preserve">Official interactive Enterprise Zone map</x:t>
  </x:si>
  <x:si>
    <x:t xml:space="preserve">Official state boundary verification. The Cook County Assessor signal is already returned by Parcel Universe at no extra request cost.</x:t>
  </x:si>
  <x:si>
    <x:t xml:space="preserve">Property Tax Portal Results URL</x:t>
  </x:si>
  <x:si>
    <x:t xml:space="preserve">https://www.cookcountypropertyinfo.com/PINResults.aspx</x:t>
  </x:si>
  <x:si>
    <x:t xml:space="preserve">Live PIN-specific Property Tax Portal results page</x:t>
  </x:si>
  <x:si>
    <x:t xml:space="preserve">Keep base URL only; macro appends ?pin=&lt;14 digits&gt;.</x:t>
  </x:si>
  <x:si>
    <x:t xml:space="preserve">PDF Output Folder</x:t>
  </x:si>
  <x:si>
    <x:t xml:space="preserve">Blank = Downloads folder automatically</x:t>
  </x:si>
  <x:si>
    <x:t xml:space="preserve">v1.2.6 defaults to the user's Downloads folder.</x:t>
  </x:si>
  <x:si>
    <x:t xml:space="preserve">Open PDF After Export</x:t>
  </x:si>
  <x:si>
    <x:t xml:space="preserve">NO</x:t>
  </x:si>
  <x:si>
    <x:t xml:space="preserve">YES / NO</x:t>
  </x:si>
  <x:si>
    <x:t xml:space="preserve">NO saves the PDF without opening a PDF viewer.</x:t>
  </x:si>
  <x:si>
    <x:t xml:space="preserve">Treasurer Overview Results URL</x:t>
  </x:si>
  <x:si>
    <x:t xml:space="preserve">https://www.cookcountytreasurer.com/yourpropertytaxoverviewresults.aspx</x:t>
  </x:si>
  <x:si>
    <x:t xml:space="preserve">Session-sensitive property Overview.</x:t>
  </x:si>
  <x:si>
    <x:t xml:space="preserve">Treasurer 20-Year History URL</x:t>
  </x:si>
  <x:si>
    <x:t xml:space="preserve">https://www.cookcountytreasurer.com/taxbillhistoryresults.aspx</x:t>
  </x:si>
  <x:si>
    <x:t xml:space="preserve">Dedicated side-tab history page; requires an active Treasurer property-search session.</x:t>
  </x:si>
  <x:si>
    <x:t xml:space="preserve">Windows Treasurer Check</x:t>
  </x:si>
  <x:si>
    <x:t xml:space="preserve">MANUAL</x:t>
  </x:si>
  <x:si>
    <x:t xml:space="preserve">Treasurer is manual on Windows; use the green button on Tax Detail.</x:t>
  </x:si>
  <x:si>
    <x:t xml:space="preserve">PTAB Website Check</x:t>
  </x:si>
  <x:si>
    <x:t xml:space="preserve">SMART</x:t>
  </x:si>
  <x:si>
    <x:t xml:space="preserve">SMART / ALWAYS / OFF</x:t>
  </x:si>
  <x:si>
    <x:t xml:space="preserve">SMART opens PTAB only when existing Assessor/BOR data already shows an appeal signal.</x:t>
  </x:si>
  <x:si>
    <x:t xml:space="preserve">Include Sources Sheet in PDF</x:t>
  </x:si>
  <x:si>
    <x:t xml:space="preserve">NO keeps the client packet shorter and reduces PDF copy/page-setup work; Sources remains in Excel.</x:t>
  </x:si>
  <x:si>
    <x:t xml:space="preserve">Skip Empty Optional PDF Sheets</x:t>
  </x:si>
  <x:si>
    <x:t xml:space="preserve">YES</x:t>
  </x:si>
  <x:si>
    <x:t xml:space="preserve">YES omits empty Issues, Permits, Documents, Sales and Appeals pages from the PDF.</x:t>
  </x:si>
  <x:si>
    <x:t xml:space="preserve">Windows Treasurer Strategy</x:t>
  </x:si>
  <x:si>
    <x:t xml:space="preserve">MANUAL opens the official Treasurer search without automating the server-approved property session.</x:t>
  </x:si>
  <x:si>
    <x:t xml:space="preserve">RECENT RECORDED DOCUMENTS / DEEDS / LIENS</x:t>
  </x:si>
  <x:si>
    <x:t xml:space="preserve">Recent document index surfaced by the Cook County Property Tax Portal</x:t>
  </x:si>
  <x:si>
    <x:t xml:space="preserve">Document Type</x:t>
  </x:si>
  <x:si>
    <x:t xml:space="preserve">Recorded Date</x:t>
  </x:si>
  <x:si>
    <x:t xml:space="preserve">2</x:t>
  </x:si>
  <x:si>
    <x:t xml:space="preserve">Click RUN PROPERTY RESEARCH.</x:t>
  </x:si>
  <x:si>
    <x:t xml:space="preserve">3</x:t>
  </x:si>
  <x:si>
    <x:t xml:space="preserve">Each source runs independently; a failed source should be logged while the remaining sources continue.</x:t>
  </x:si>
  <x:si>
    <x:t xml:space="preserve">4</x:t>
  </x:si>
  <x:si>
    <x:t xml:space="preserve">Review Issues / Items to Verify before reliance.</x:t>
  </x:si>
  <x:si>
    <x:t xml:space="preserve">5</x:t>
  </x:si>
  <x:si>
    <x:t xml:space="preserve">The combined PDF is saved to Downloads by default. Open PDF After Export defaults to NO, so a PDF viewer will not launch automatically.</x:t>
  </x:si>
  <x:si>
    <x:t xml:space="preserve">WINDOWS WORK COMPUTER</x:t>
  </x:si>
  <x:si>
    <x:t xml:space="preserve">•</x:t>
  </x:si>
  <x:si>
    <x:t xml:space="preserve">Windows: county, Portal, and Board of Review data remain automatic. The optional PTAB status check is non-fatal; the CAPTCHA-protected live BOR website is not used.</x:t>
  </x:si>
  <x:si>
    <x:t xml:space="preserve">Windows uses WinHTTP for fast public-data requests. Treasurer is opened manually from Tax Detail.</x:t>
  </x:si>
  <x:si>
    <x:t xml:space="preserve">The VBA parser avoids optional VBScript.RegExp and Scripting.Dictionary references.</x:t>
  </x:si>
  <x:si>
    <x:t xml:space="preserve">Enterprise Zone: the Cook County Assessor spatial signal is automatic; official Illinois DCEO boundary verification remains manual/PARTIAL.</x:t>
  </x:si>
  <x:si>
    <x:t xml:space="preserve">WINDOWS FIRST TEST</x:t>
  </x:si>
  <x:si>
    <x:t xml:space="preserve">Required folder</x:t>
  </x:si>
  <x:si>
    <x:t xml:space="preserve">No helper folder is required</x:t>
  </x:si>
  <x:si>
    <x:t xml:space="preserve">Helper</x:t>
  </x:si>
  <x:si>
    <x:t xml:space="preserve">No separate Windows helper</x:t>
  </x:si>
  <x:si>
    <x:t xml:space="preserve">Installer</x:t>
  </x:si>
  <x:si>
    <x:t xml:space="preserve">No separate helper or installer is required on Windows.</x:t>
  </x:si>
  <x:si>
    <x:t xml:space="preserve">First Treasurer regression PIN</x:t>
  </x:si>
  <x:si>
    <x:t xml:space="preserve">16-30-204-020-0000</x:t>
  </x:si>
  <x:si>
    <x:t xml:space="preserve">TREASURER MANUAL CHECK</x:t>
  </x:si>
  <x:si>
    <x:t xml:space="preserve">If Treasurer is MANUAL, use the green OPEN TREASURER SEARCH button and enter the displayed PIN.</x:t>
  </x:si>
  <x:si>
    <x:t xml:space="preserve">COOK COUNTY TAX INTELLIGENCE</x:t>
  </x:si>
  <x:si>
    <x:t xml:space="preserve">CURRENT RATE</x:t>
  </x:si>
  <x:si>
    <x:t xml:space="preserve">TAX CODE</x:t>
  </x:si>
  <x:si>
    <x:t xml:space="preserve">LATEST BILL</x:t>
  </x:si>
  <x:si>
    <x:t xml:space="preserve">PORTAL REFUND</x:t>
  </x:si>
  <x:si>
    <x:t xml:space="preserve">PROPERTY TAX PORTAL - 5-YEAR RATE / BILL HISTORY</x:t>
  </x:si>
  <x:si>
    <x:t xml:space="preserve">Composite Rate</x:t>
  </x:si>
  <x:si>
    <x:t xml:space="preserve">PIN TO ENTER</x:t>
  </x:si>
  <x:si>
    <x:t xml:space="preserve">16-30-204-021-0000</x:t>
  </x:si>
  <x:si>
    <x:t xml:space="preserve">COOK COUNTY
ILLINOIS</x:t>
  </x:si>
  <x:si>
    <x:t xml:space="preserve">APPEAL HISTORY</x:t>
  </x:si>
  <x:si>
    <x:t xml:space="preserve">Assessor appeals, Board of Review decisions, and PTAB status</x:t>
  </x:si>
  <x:si>
    <x:t xml:space="preserve">A</x:t>
  </x:si>
  <x:si>
    <x:t xml:space="preserve">ASSESSOR APPEALS</x:t>
  </x:si>
  <x:si>
    <x:t xml:space="preserve">BOR</x:t>
  </x:si>
  <x:si>
    <x:t xml:space="preserve">BOR DECISIONS</x:t>
  </x:si>
  <x:si>
    <x:t xml:space="preserve">PTAB</x:t>
  </x:si>
  <x:si>
    <x:t xml:space="preserve">PTAB STATUS</x:t>
  </x:si>
  <x:si>
    <x:t xml:space="preserve">AV</x:t>
  </x:si>
  <x:si>
    <x:t xml:space="preserve">NET AV CHANGE</x:t>
  </x:si>
  <x:si>
    <x:t xml:space="preserve">Recorded appeal rows</x:t>
  </x:si>
  <x:si>
    <x:t xml:space="preserve">Sum of BOR AV changes</x:t>
  </x:si>
  <x:si>
    <x:t xml:space="preserve">APPEAL HISTORY DETAILS</x:t>
  </x:si>
  <x:si>
    <x:t xml:space="preserve">DATA SOURCE NOTE</x:t>
  </x:si>
  <x:si>
    <x:t xml:space="preserve">Board of Review history is sourced from the official Cook County BOR decision-history dataset. PTAB status is checked through the Illinois PTAB Appeal Status Inquiry. The CAPTCHA-protected live BOR search is not used.</x:t>
  </x:si>
  <x:si>
    <x:t xml:space="preserve">TAX INTELLIGENCE</x:t>
  </x:si>
  <x:si>
    <x:t xml:space="preserve">Current tax position, recent exemptions, and historical bill trend</x:t>
  </x:si>
  <x:si>
    <x:t xml:space="preserve">%</x:t>
  </x:si>
  <x:si>
    <x:t xml:space="preserve">CURRENT TAX RATE</x:t>
  </x:si>
  <x:si>
    <x:t xml:space="preserve">$</x:t>
  </x:si>
  <x:si>
    <x:t xml:space="preserve">LATEST BILLED AMOUNT</x:t>
  </x:si>
  <x:si>
    <x:t xml:space="preserve">CODE</x:t>
  </x:si>
  <x:si>
    <x:t xml:space="preserve">REF</x:t>
  </x:si>
  <x:si>
    <x:t xml:space="preserve">PORTAL REFUND STATUS</x:t>
  </x:si>
  <x:si>
    <x:t xml:space="preserve">General Property</x:t>
  </x:si>
  <x:si>
    <x:t xml:space="preserve">Per Property Tax Portal</x:t>
  </x:si>
  <x:si>
    <x:t xml:space="preserve">PROPERTY TAX PORTAL — 5-YEAR RATE / BILL HISTORY</x:t>
  </x:si>
  <x:si>
    <x:t xml:space="preserve">Payment Status</x:t>
  </x:si>
</x:sst>
</file>

<file path=xl/styles.xml><?xml version="1.0" encoding="utf-8"?>
<x:styleSheet xmlns:x="http://schemas.openxmlformats.org/spreadsheetml/2006/main">
  <x:numFmts count="17">
    <x:numFmt numFmtId="6" formatCode="&quot;$&quot;#,##0_);[Red]\(&quot;$&quot;#,##0\)"/>
    <x:numFmt numFmtId="8" formatCode="&quot;$&quot;#,##0.00_);[Red]\(&quot;$&quot;#,##0.00\)"/>
    <x:numFmt numFmtId="164" formatCode="\$#,##0.00"/>
    <x:numFmt numFmtId="165" formatCode="0.000"/>
    <x:numFmt numFmtId="166" formatCode="\$#,##0"/>
    <x:numFmt numFmtId="167" formatCode="#,##0;\(#,##0\)"/>
    <x:numFmt numFmtId="168" formatCode="0.00%;[Red]\-0.00%"/>
    <x:numFmt numFmtId="169" formatCode="0.0%"/>
    <x:numFmt numFmtId="170" formatCode="dd\-mmm\-yy"/>
    <x:numFmt numFmtId="171" formatCode="#,##0;[Red]\(#,##0\)"/>
    <x:numFmt numFmtId="172" formatCode="&quot;$&quot;#,##0.00;[Red]\-&quot;$&quot;#,##0.00"/>
    <x:numFmt numFmtId="200" formatCode="0.0000"/>
    <x:numFmt numFmtId="201" formatCode="$#,##0"/>
    <x:numFmt numFmtId="202" formatCode="0%"/>
    <x:numFmt numFmtId="203" formatCode="$#,##0.00"/>
    <x:numFmt numFmtId="204" formatCode="0"/>
    <x:numFmt numFmtId="205" formatCode="@"/>
  </x:numFmts>
  <x:fonts count="73">
    <x:font>
      <x:sz val="11"/>
      <x:name val="Carlito"/>
    </x:font>
    <x:font>
      <x:b/>
      <x:sz val="15"/>
      <x:color rgb="FFFFFFFF"/>
      <x:name val="Carlito"/>
    </x:font>
    <x:font>
      <x:i/>
      <x:sz val="10"/>
      <x:color rgb="FF64748B"/>
      <x:name val="Carlito"/>
    </x:font>
    <x:font>
      <x:b/>
      <x:sz val="11"/>
      <x:name val="Carlito"/>
    </x:font>
    <x:font>
      <x:b/>
      <x:sz val="12"/>
      <x:name val="Carlito"/>
    </x:font>
    <x:font>
      <x:i/>
      <x:sz val="11"/>
      <x:color rgb="FF64748B"/>
      <x:name val="Carlito"/>
    </x:font>
    <x:font>
      <x:b/>
      <x:sz val="11"/>
      <x:color rgb="FF17324D"/>
      <x:name val="Carlito"/>
    </x:font>
    <x:font>
      <x:b/>
      <x:sz val="11"/>
      <x:color rgb="FF7F1D1D"/>
      <x:name val="Carlito"/>
    </x:font>
    <x:font>
      <x:sz val="10"/>
      <x:color rgb="FF475569"/>
      <x:name val="Carlito"/>
    </x:font>
    <x:font>
      <x:b/>
      <x:sz val="10"/>
      <x:color rgb="FF7C4A03"/>
      <x:name val="Carlito"/>
    </x:font>
    <x:font>
      <x:b/>
      <x:sz val="11"/>
      <x:color rgb="FFFFFFFF"/>
      <x:name val="Aptos"/>
    </x:font>
    <x:font>
      <x:sz val="11"/>
      <x:color rgb="FFFFFFFF"/>
      <x:name val="Aptos"/>
    </x:font>
    <x:font>
      <x:b/>
      <x:sz val="17"/>
      <x:color rgb="FFFFFFFF"/>
      <x:name val="Aptos"/>
    </x:font>
    <x:font>
      <x:b/>
      <x:sz val="18"/>
      <x:color rgb="FFFFFFFF"/>
      <x:name val="Aptos"/>
    </x:font>
    <x:font>
      <x:sz val="10"/>
      <x:color rgb="FFFFFFFF"/>
      <x:name val="Aptos"/>
    </x:font>
    <x:font>
      <x:i/>
      <x:sz val="9"/>
      <x:color rgb="FFFFFFFF"/>
      <x:name val="Aptos"/>
    </x:font>
    <x:font>
      <x:sz val="11"/>
      <x:name val="Aptos"/>
    </x:font>
    <x:font>
      <x:b/>
      <x:sz val="15"/>
      <x:color rgb="FF0B3C70"/>
      <x:name val="Aptos"/>
    </x:font>
    <x:font>
      <x:b/>
      <x:sz val="8"/>
      <x:color rgb="FF0B3C70"/>
      <x:name val="Aptos"/>
    </x:font>
    <x:font>
      <x:b/>
      <x:sz val="15"/>
      <x:color rgb="FF172033"/>
      <x:name val="Aptos"/>
    </x:font>
    <x:font>
      <x:sz val="7"/>
      <x:color rgb="FF64748B"/>
      <x:name val="Aptos"/>
    </x:font>
    <x:font>
      <x:b/>
      <x:sz val="10"/>
      <x:color rgb="FF0B3C70"/>
      <x:name val="Aptos"/>
    </x:font>
    <x:font>
      <x:b/>
      <x:sz val="11"/>
      <x:color rgb="FF172033"/>
      <x:name val="Aptos"/>
    </x:font>
    <x:font>
      <x:sz val="11"/>
      <x:color rgb="FF172033"/>
      <x:name val="Aptos"/>
    </x:font>
    <x:font>
      <x:b/>
      <x:sz val="10"/>
      <x:color rgb="FFA71919"/>
      <x:name val="Aptos"/>
    </x:font>
    <x:font>
      <x:b/>
      <x:sz val="11"/>
      <x:color rgb="FFA71919"/>
      <x:name val="Aptos"/>
    </x:font>
    <x:font>
      <x:sz val="8"/>
      <x:color rgb="FF172033"/>
      <x:name val="Aptos"/>
    </x:font>
    <x:font>
      <x:b/>
      <x:sz val="15"/>
      <x:color rgb="FF176B38"/>
      <x:name val="Aptos"/>
    </x:font>
    <x:font>
      <x:b/>
      <x:sz val="7"/>
      <x:color rgb="FF0B3C70"/>
      <x:name val="Aptos"/>
    </x:font>
    <x:font>
      <x:sz val="7"/>
      <x:color rgb="FF172033"/>
      <x:name val="Aptos"/>
    </x:font>
    <x:font>
      <x:b/>
      <x:sz val="11"/>
      <x:color rgb="FF0B3C70"/>
      <x:name val="Aptos"/>
    </x:font>
    <x:font>
      <x:b/>
      <x:sz val="11"/>
      <x:color rgb="FF176B38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i/>
      <x:sz val="10"/>
      <x:color rgb="FF64748B"/>
      <x:name val="Aptos"/>
    </x:font>
    <x:font>
      <x:b/>
      <x:sz val="10"/>
      <x:name val="Aptos"/>
    </x:font>
    <x:font>
      <x:sz val="11"/>
      <x:color theme="10"/>
      <x:name val="Carlito"/>
    </x:font>
    <x:font>
      <x:b/>
      <x:sz val="10"/>
      <x:name val="Aptos"/>
    </x:font>
    <x:font>
      <x:b/>
      <x:sz val="11"/>
      <x:color rgb="FF176B38"/>
      <x:name val="Carlito"/>
    </x:font>
    <x:font>
      <x:b/>
      <x:sz val="11"/>
      <x:color rgb="FF9B5300"/>
      <x:name val="Carlito"/>
    </x:font>
    <x:font>
      <x:b/>
      <x:sz val="11"/>
      <x:color rgb="FFA71919"/>
      <x:name val="Carlito"/>
    </x:font>
    <x:font>
      <x:b/>
      <x:sz val="11"/>
      <x:color rgb="FF172033"/>
      <x:name val="Aptos"/>
    </x:font>
    <x:font>
      <x:sz val="8"/>
      <x:color rgb="FF172033"/>
      <x:name val="Aptos"/>
    </x:font>
    <x:font>
      <x:sz val="11"/>
      <x:color rgb="FF172033"/>
      <x:name val="Aptos"/>
    </x:font>
    <x:font>
      <x:b/>
      <x:sz val="11"/>
      <x:color rgb="FFA71919"/>
      <x:name val="Aptos"/>
    </x:font>
    <x:font>
      <x:b/>
      <x:sz val="11"/>
      <x:color rgb="FF9B5300"/>
      <x:name val="Aptos"/>
    </x:font>
    <x:font>
      <x:b/>
      <x:sz val="15"/>
      <x:color rgb="FF172033"/>
      <x:name val="Aptos"/>
    </x:font>
    <x:font>
      <x:b/>
      <x:sz val="8"/>
      <x:color rgb="FF172033"/>
      <x:name val="Aptos"/>
    </x:font>
    <x:font>
      <x:sz val="7"/>
      <x:color rgb="FF172033"/>
      <x:name val="Aptos"/>
    </x:font>
    <x:font>
      <x:b/>
      <x:sz val="10"/>
      <x:color rgb="FF17324D"/>
      <x:name val="Aptos"/>
    </x:font>
    <x:font>
      <x:sz val="11"/>
      <x:color rgb="FF17324D"/>
      <x:name val="Aptos"/>
    </x:font>
    <x:font>
      <x:sz val="9"/>
      <x:color rgb="FF172033"/>
      <x:name val="Aptos"/>
    </x:font>
    <x:font>
      <x:b/>
      <x:sz val="8"/>
      <x:color rgb="FF176B38"/>
      <x:name val="Aptos"/>
    </x:font>
    <x:font>
      <x:b/>
      <x:sz val="8"/>
      <x:color rgb="FF1E4E8C"/>
      <x:name val="Aptos"/>
    </x:font>
    <x:font>
      <x:b/>
      <x:sz val="7"/>
      <x:color rgb="FF176B38"/>
      <x:name val="Aptos"/>
    </x:font>
    <x:font>
      <x:b/>
      <x:sz val="7"/>
      <x:color rgb="FF9B5300"/>
      <x:name val="Aptos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9"/>
      <x:color rgb="FF64748B"/>
      <x:name val="Carlito"/>
    </x:font>
    <x:font>
      <x:b/>
      <x:sz val="11"/>
      <x:color rgb="FF224766"/>
      <x:name val="Carlito"/>
    </x:font>
    <x:font>
      <x:b/>
      <x:sz val="10"/>
      <x:color rgb="FF224766"/>
      <x:name val="Carlito"/>
    </x:font>
    <x:font>
      <x:b/>
      <x:sz val="8"/>
      <x:color rgb="FF224766"/>
      <x:name val="Carlito"/>
    </x:font>
    <x:font>
      <x:b/>
      <x:sz val="14"/>
      <x:color rgb="FF1F2937"/>
      <x:name val="Carlito"/>
    </x:font>
    <x:font>
      <x:sz val="7"/>
      <x:color rgb="FF64748B"/>
      <x:name val="Carlito"/>
    </x:font>
    <x:font>
      <x:b/>
      <x:sz val="7"/>
      <x:color rgb="FF224766"/>
      <x:name val="Carlito"/>
    </x:font>
    <x:font>
      <x:b/>
      <x:sz val="9"/>
      <x:color rgb="FF1F2937"/>
      <x:name val="Carlito"/>
    </x:font>
    <x:font>
      <x:sz val="8"/>
      <x:color rgb="FF1F2937"/>
      <x:name val="Carlito"/>
    </x:font>
    <x:font>
      <x:sz val="8"/>
      <x:color rgb="FF64748B"/>
      <x:name val="Carlito"/>
    </x:font>
    <x:font>
      <x:b/>
      <x:sz val="15"/>
      <x:color rgb="FF224766"/>
      <x:name val="Aptos"/>
    </x:font>
    <x:font>
      <x:b/>
      <x:sz val="11"/>
      <x:color rgb="FF224766"/>
      <x:name val="Aptos"/>
    </x:font>
    <x:font>
      <x:b/>
      <x:sz val="8"/>
      <x:color rgb="FF224766"/>
      <x:name val="Aptos"/>
    </x:font>
    <x:font>
      <x:b/>
      <x:sz val="14"/>
      <x:color rgb="FF1F2937"/>
      <x:name val="Aptos"/>
    </x:font>
  </x:fonts>
  <x:fills count="5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AF0F6"/>
      </x:patternFill>
    </x:fill>
    <x:fill>
      <x:patternFill patternType="solid">
        <x:fgColor rgb="FFFCE8E6"/>
      </x:patternFill>
    </x:fill>
    <x:fill>
      <x:patternFill patternType="solid">
        <x:fgColor rgb="FF17324D"/>
      </x:patternFill>
    </x:fill>
    <x:fill>
      <x:patternFill patternType="solid">
        <x:fgColor rgb="FFD9E2F3"/>
      </x:patternFill>
    </x:fill>
    <x:fill>
      <x:patternFill patternType="solid">
        <x:fgColor rgb="FF17324D"/>
      </x:patternFill>
    </x:fill>
    <x:fill>
      <x:patternFill patternType="solid">
        <x:fgColor rgb="FFD9E2F3"/>
      </x:patternFill>
    </x:fill>
    <x:fill>
      <x:patternFill patternType="solid">
        <x:fgColor rgb="FFFCE8E6"/>
      </x:patternFill>
    </x:fill>
    <x:fill>
      <x:patternFill patternType="solid">
        <x:fgColor rgb="FFEAF0F6"/>
      </x:patternFill>
    </x:fill>
    <x:fill>
      <x:patternFill patternType="solid">
        <x:fgColor rgb="FFD9E2F3"/>
      </x:patternFill>
    </x:fill>
    <x:fill>
      <x:patternFill patternType="solid">
        <x:fgColor rgb="FFEAF0F6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D9E2F3"/>
      </x:patternFill>
    </x:fill>
    <x:fill>
      <x:patternFill patternType="solid">
        <x:fgColor rgb="FFEAF0F6"/>
      </x:patternFill>
    </x:fill>
    <x:fill>
      <x:patternFill patternType="solid">
        <x:fgColor rgb="FFFCE8E6"/>
      </x:patternFill>
    </x:fill>
    <x:fill>
      <x:patternFill patternType="solid">
        <x:fgColor rgb="FF062B55"/>
      </x:patternFill>
    </x:fill>
    <x:fill>
      <x:patternFill patternType="solid">
        <x:fgColor rgb="FFEEF5FF"/>
      </x:patternFill>
    </x:fill>
    <x:fill>
      <x:patternFill patternType="solid">
        <x:fgColor rgb="FFF6F9FD"/>
      </x:patternFill>
    </x:fill>
    <x:fill>
      <x:patternFill patternType="solid">
        <x:fgColor rgb="FFDCE9F8"/>
      </x:patternFill>
    </x:fill>
    <x:fill>
      <x:patternFill patternType="solid">
        <x:fgColor rgb="FFFFFFFF"/>
      </x:patternFill>
    </x:fill>
    <x:fill>
      <x:patternFill patternType="solid">
        <x:fgColor rgb="FFEEF5FF"/>
      </x:patternFill>
    </x:fill>
    <x:fill>
      <x:patternFill patternType="solid">
        <x:fgColor rgb="FFF5F9FE"/>
      </x:patternFill>
    </x:fill>
    <x:fill>
      <x:patternFill patternType="solid">
        <x:fgColor rgb="FFFFF0F0"/>
      </x:patternFill>
    </x:fill>
    <x:fill>
      <x:patternFill patternType="solid">
        <x:fgColor rgb="FFDCE9F8"/>
      </x:patternFill>
    </x:fill>
    <x:fill>
      <x:patternFill patternType="solid">
        <x:fgColor rgb="FFF1F5F9"/>
      </x:patternFill>
    </x:fill>
    <x:fill>
      <x:patternFill patternType="solid">
        <x:fgColor rgb="FF17324D"/>
      </x:patternFill>
    </x:fill>
    <x:fill>
      <x:patternFill patternType="solid">
        <x:fgColor rgb="FFD9E2F3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EAF0F6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FFF4DD"/>
      </x:patternFill>
    </x:fill>
    <x:fill>
      <x:patternFill patternType="solid">
        <x:fgColor rgb="FFFFFFFF"/>
      </x:patternFill>
    </x:fill>
    <x:fill>
      <x:patternFill patternType="solid">
        <x:fgColor rgb="FFE8F2FF"/>
      </x:patternFill>
    </x:fill>
    <x:fill>
      <x:patternFill patternType="solid">
        <x:fgColor rgb="FFF2F7FC"/>
      </x:patternFill>
    </x:fill>
    <x:fill>
      <x:patternFill patternType="solid">
        <x:fgColor rgb="FFE8F6EC"/>
      </x:patternFill>
    </x:fill>
    <x:fill>
      <x:patternFill patternType="solid">
        <x:fgColor rgb="FFFFEBEB"/>
      </x:patternFill>
    </x:fill>
    <x:fill>
      <x:patternFill patternType="solid">
        <x:fgColor rgb="FFDDEBF7"/>
      </x:patternFill>
    </x:fill>
    <x:fill>
      <x:patternFill patternType="solid">
        <x:fgColor rgb="FFFFFDF5"/>
      </x:patternFill>
    </x:fill>
    <x:fill>
      <x:patternFill patternType="solid">
        <x:fgColor rgb="FF224766"/>
      </x:patternFill>
    </x:fill>
    <x:fill>
      <x:patternFill patternType="solid">
        <x:fgColor rgb="FFFFFFFF"/>
      </x:patternFill>
    </x:fill>
    <x:fill>
      <x:patternFill patternType="solid">
        <x:fgColor rgb="FFF7FAFD"/>
      </x:patternFill>
    </x:fill>
    <x:fill>
      <x:patternFill patternType="solid">
        <x:fgColor rgb="FFEEF5FF"/>
      </x:patternFill>
    </x:fill>
    <x:fill>
      <x:patternFill patternType="solid">
        <x:fgColor rgb="FFD9E2F3"/>
      </x:patternFill>
    </x:fill>
    <x:fill>
      <x:patternFill patternType="solid">
        <x:fgColor rgb="FFEEF5FF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7FAFD"/>
      </x:patternFill>
    </x:fill>
    <x:fill>
      <x:patternFill patternType="solid">
        <x:fgColor rgb="FFFFFDF5"/>
      </x:patternFill>
    </x:fill>
    <x:fill>
      <x:patternFill patternType="solid">
        <x:fgColor rgb="FFD9E2F3"/>
      </x:patternFill>
    </x:fill>
  </x:fills>
  <x:borders count="56">
    <x:border/>
    <x:border>
      <x:right style="thin">
        <x:color rgb="FF8FB1D5"/>
      </x:right>
    </x:border>
    <x:border>
      <x:left style="thin">
        <x:color rgb="FFBFD4EC"/>
      </x:left>
      <x:top style="thin">
        <x:color rgb="FFBFD4EC"/>
      </x:top>
    </x:border>
    <x:border>
      <x:top style="thin">
        <x:color rgb="FFBFD4EC"/>
      </x:top>
    </x:border>
    <x:border>
      <x:right style="thin">
        <x:color rgb="FFBFD4EC"/>
      </x:right>
      <x:top style="thin">
        <x:color rgb="FFBFD4EC"/>
      </x:top>
    </x:border>
    <x:border>
      <x:left style="thin">
        <x:color rgb="FFBFD4EC"/>
      </x:left>
    </x:border>
    <x:border>
      <x:right style="thin">
        <x:color rgb="FFBFD4EC"/>
      </x:right>
    </x:border>
    <x:border>
      <x:left style="thin">
        <x:color rgb="FFBFD4EC"/>
      </x:left>
      <x:bottom style="thin">
        <x:color rgb="FFBFD4EC"/>
      </x:bottom>
    </x:border>
    <x:border>
      <x:bottom style="thin">
        <x:color rgb="FFBFD4EC"/>
      </x:bottom>
    </x:border>
    <x:border>
      <x:right style="thin">
        <x:color rgb="FFBFD4EC"/>
      </x:right>
      <x:bottom style="thin">
        <x:color rgb="FFBFD4EC"/>
      </x:bottom>
    </x:border>
    <x:border>
      <x:left style="thin">
        <x:color rgb="FFBFD4EC"/>
      </x:left>
      <x:top style="thin">
        <x:color rgb="FFBFD4EC"/>
      </x:top>
      <x:bottom style="thin">
        <x:color rgb="FFBFD4EC"/>
      </x:bottom>
    </x:border>
    <x:border>
      <x:top style="thin">
        <x:color rgb="FFBFD4EC"/>
      </x:top>
      <x:bottom style="thin">
        <x:color rgb="FFBFD4EC"/>
      </x:bottom>
    </x:border>
    <x:border>
      <x:right style="thin">
        <x:color rgb="FFBFD4EC"/>
      </x:right>
      <x:top style="thin">
        <x:color rgb="FFBFD4EC"/>
      </x:top>
      <x:bottom style="thin">
        <x:color rgb="FFBFD4EC"/>
      </x:bottom>
    </x:border>
    <x:border>
      <x:bottom style="hair">
        <x:color rgb="FFD9DEE5"/>
      </x:bottom>
    </x:border>
    <x:border>
      <x:bottom style="hair">
        <x:color rgb="FFF0CACA"/>
      </x:bottom>
    </x:border>
    <x:border>
      <x:left style="thin">
        <x:color rgb="FFBFD4EC"/>
      </x:left>
      <x:bottom style="hair">
        <x:color rgb="FFD9DEE5"/>
      </x:bottom>
    </x:border>
    <x:border>
      <x:right style="thin">
        <x:color rgb="FFBFD4EC"/>
      </x:right>
      <x:bottom style="hair">
        <x:color rgb="FFD9DEE5"/>
      </x:bottom>
    </x:border>
    <x:border>
      <x:left style="thin">
        <x:color rgb="FFBFD4EC"/>
      </x:left>
      <x:bottom style="hair">
        <x:color rgb="FFF0CACA"/>
      </x:bottom>
    </x:border>
    <x:border>
      <x:right style="thin">
        <x:color rgb="FFBFD4EC"/>
      </x:right>
      <x:bottom style="hair">
        <x:color rgb="FFF0CACA"/>
      </x:bottom>
    </x:border>
    <x:border/>
    <x:border>
      <x:right style="thin">
        <x:color rgb="FFBFD4EC"/>
      </x:right>
    </x:border>
    <x:border>
      <x:left style="thin">
        <x:color rgb="FFBFD4EC"/>
      </x:left>
    </x:border>
    <x:border>
      <x:left style="thin">
        <x:color rgb="FFBFD4EC"/>
      </x:left>
      <x:bottom style="thin">
        <x:color rgb="FFBFD4EC"/>
      </x:bottom>
    </x:border>
    <x:border>
      <x:bottom style="thin">
        <x:color rgb="FFBFD4EC"/>
      </x:bottom>
    </x:border>
    <x:border>
      <x:right style="thin">
        <x:color rgb="FFBFD4EC"/>
      </x:right>
      <x:bottom style="thin">
        <x:color rgb="FFBFD4EC"/>
      </x:bottom>
    </x:border>
    <x:border>
      <x:top style="thin">
        <x:color rgb="FFBFD4EC"/>
      </x:top>
    </x:border>
    <x:border>
      <x:right style="thin">
        <x:color rgb="FFBFD4EC"/>
      </x:right>
      <x:top style="thin">
        <x:color rgb="FFBFD4EC"/>
      </x:top>
    </x:border>
    <x:border>
      <x:left style="thin">
        <x:color rgb="FFBFD4EC"/>
      </x:left>
      <x:top style="thin">
        <x:color rgb="FFBFD4EC"/>
      </x:top>
      <x:bottom style="thin">
        <x:color rgb="FFBFD4EC"/>
      </x:bottom>
    </x:border>
    <x:border>
      <x:top style="thin">
        <x:color rgb="FFBFD4EC"/>
      </x:top>
      <x:bottom style="thin">
        <x:color rgb="FFBFD4EC"/>
      </x:bottom>
    </x:border>
    <x:border>
      <x:right style="thin">
        <x:color rgb="FFBFD4EC"/>
      </x:right>
      <x:top style="thin">
        <x:color rgb="FFBFD4EC"/>
      </x:top>
      <x:bottom style="thin">
        <x:color rgb="FFBFD4EC"/>
      </x:bottom>
    </x:border>
    <x:border>
      <x:left style="thin">
        <x:color rgb="FFBFD4EC"/>
      </x:left>
      <x:top style="thin">
        <x:color rgb="FFBFD4EC"/>
      </x:top>
    </x:border>
    <x:border>
      <x:right style="thin">
        <x:color rgb="FF8FB1D5"/>
      </x:right>
    </x:border>
    <x:border>
      <x:left style="thin">
        <x:color rgb="FFBFD4EC"/>
      </x:left>
      <x:bottom style="hair">
        <x:color rgb="FFD9DEE5"/>
      </x:bottom>
    </x:border>
    <x:border>
      <x:bottom style="hair">
        <x:color rgb="FFD9DEE5"/>
      </x:bottom>
    </x:border>
    <x:border>
      <x:right style="thin">
        <x:color rgb="FFBFD4EC"/>
      </x:right>
      <x:bottom style="hair">
        <x:color rgb="FFD9DEE5"/>
      </x:bottom>
    </x:border>
    <x:border>
      <x:bottom style="hair">
        <x:color rgb="FFF0CACA"/>
      </x:bottom>
    </x:border>
    <x:border>
      <x:right style="thin">
        <x:color rgb="FFBFD4EC"/>
      </x:right>
      <x:bottom style="hair">
        <x:color rgb="FFF0CACA"/>
      </x:bottom>
    </x:border>
    <x:border>
      <x:left style="thin">
        <x:color rgb="FFBFD4EC"/>
      </x:left>
      <x:bottom style="hair">
        <x:color rgb="FFF0CACA"/>
      </x:bottom>
    </x:border>
    <x:border>
      <x:bottom style="hair">
        <x:color rgb="FFD1D5DB"/>
      </x:bottom>
    </x:border>
    <x:border>
      <x:bottom style="hair">
        <x:color rgb="FFD1D5DB"/>
      </x:bottom>
    </x:border>
    <x:border>
      <x:left style="thin">
        <x:color rgb="FFE7D59A"/>
      </x:left>
      <x:top style="thin">
        <x:color rgb="FFE7D59A"/>
      </x:top>
    </x:border>
    <x:border>
      <x:top style="thin">
        <x:color rgb="FFE7D59A"/>
      </x:top>
    </x:border>
    <x:border>
      <x:right style="thin">
        <x:color rgb="FFE7D59A"/>
      </x:right>
      <x:top style="thin">
        <x:color rgb="FFE7D59A"/>
      </x:top>
    </x:border>
    <x:border>
      <x:left style="thin">
        <x:color rgb="FFE7D59A"/>
      </x:left>
      <x:bottom style="thin">
        <x:color rgb="FFE7D59A"/>
      </x:bottom>
    </x:border>
    <x:border>
      <x:bottom style="thin">
        <x:color rgb="FFE7D59A"/>
      </x:bottom>
    </x:border>
    <x:border>
      <x:right style="thin">
        <x:color rgb="FFE7D59A"/>
      </x:right>
      <x:bottom style="thin">
        <x:color rgb="FFE7D59A"/>
      </x:bottom>
    </x:border>
    <x:border>
      <x:left style="thin">
        <x:color rgb="FFE7D59A"/>
      </x:left>
      <x:top style="thin">
        <x:color rgb="FFE7D59A"/>
      </x:top>
    </x:border>
    <x:border>
      <x:top style="thin">
        <x:color rgb="FFE7D59A"/>
      </x:top>
    </x:border>
    <x:border>
      <x:right style="thin">
        <x:color rgb="FFE7D59A"/>
      </x:right>
      <x:top style="thin">
        <x:color rgb="FFE7D59A"/>
      </x:top>
    </x:border>
    <x:border>
      <x:left style="thin">
        <x:color rgb="FFE7D59A"/>
      </x:left>
      <x:bottom style="thin">
        <x:color rgb="FFE7D59A"/>
      </x:bottom>
    </x:border>
    <x:border>
      <x:bottom style="thin">
        <x:color rgb="FFE7D59A"/>
      </x:bottom>
    </x:border>
    <x:border>
      <x:right style="thin">
        <x:color rgb="FFE7D59A"/>
      </x:right>
      <x:bottom style="thin">
        <x:color rgb="FFE7D59A"/>
      </x:bottom>
    </x:border>
    <x:border>
      <x:left style="thin">
        <x:color rgb="FFE7D59A"/>
      </x:left>
    </x:border>
    <x:border>
      <x:right style="thin">
        <x:color rgb="FFE7D59A"/>
      </x:right>
    </x:border>
    <x:border>
      <x:left style="thin">
        <x:color rgb="FFE7D59A"/>
      </x:left>
    </x:border>
    <x:border>
      <x:right style="thin">
        <x:color rgb="FFE7D59A"/>
      </x:right>
    </x:border>
  </x:borders>
  <x:cellStyleXfs count="2">
    <x:xf numFmtId="0" fontId="0" fillId="0" borderId="0"/>
    <x:xf numFmtId="0" fontId="37" fillId="0" borderId="0" applyNumberFormat="0" applyFill="0" applyBorder="0" applyAlignment="0" applyProtection="0"/>
  </x:cellStyleXfs>
  <x:cellXfs count="1180">
    <x:xf numFmtId="0" fontId="0" fillId="0" borderId="0" xfId="0"/>
    <x:xf numFmtId="0" fontId="3" fillId="0" borderId="0" xfId="0" applyFont="1"/>
    <x:xf numFmtId="0" fontId="6" fillId="4" borderId="0" xfId="0" applyFont="1" applyFill="1"/>
    <x:xf numFmtId="0" fontId="3" fillId="5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wrapText="1"/>
    </x:xf>
    <x:xf numFmtId="0" fontId="7" fillId="6" borderId="0" xfId="0" applyFont="1" applyFill="1"/>
    <x:xf numFmtId="0" fontId="3" fillId="8" borderId="0" xfId="0" applyFont="1" applyFill="1"/>
    <x:xf numFmtId="3" fontId="0" fillId="0" borderId="0" xfId="0" applyNumberFormat="1"/>
    <x:xf numFmtId="3" fontId="0" fillId="0" borderId="0" xfId="0" applyNumberFormat="1" applyAlignment="1">
      <x:alignment wrapText="1"/>
    </x:xf>
    <x:xf numFmtId="164" fontId="0" fillId="0" borderId="0" xfId="0" applyNumberFormat="1" applyAlignment="1">
      <x:alignment wrapText="1"/>
    </x:xf>
    <x:xf numFmtId="165" fontId="0" fillId="0" borderId="0" xfId="0" applyNumberFormat="1" applyAlignment="1">
      <x:alignment wrapText="1"/>
    </x:xf>
    <x:xf numFmtId="166" fontId="0" fillId="0" borderId="0" xfId="0" applyNumberFormat="1" applyAlignment="1">
      <x:alignment wrapText="1"/>
    </x:xf>
    <x:xf numFmtId="166" fontId="0" fillId="0" borderId="0" xfId="0" applyNumberFormat="1"/>
    <x:xf numFmtId="167" fontId="0" fillId="0" borderId="0" xfId="0" applyNumberFormat="1" applyAlignment="1">
      <x:alignment wrapText="1"/>
    </x:xf>
    <x:xf numFmtId="0" fontId="1" fillId="9" borderId="0" xfId="0" applyFont="1" applyFill="1" applyAlignment="1">
      <x:alignment horizontal="center" vertical="center"/>
    </x:xf>
    <x:xf numFmtId="0" fontId="6" fillId="10" borderId="0" xfId="0" applyFont="1" applyFill="1"/>
    <x:xf numFmtId="0" fontId="7" fillId="11" borderId="0" xfId="0" applyFont="1" applyFill="1"/>
    <x:xf numFmtId="0" fontId="6" fillId="12" borderId="0" xfId="0" applyFont="1" applyFill="1"/>
    <x:xf numFmtId="0" fontId="6" fillId="5" borderId="0" xfId="0" applyFont="1" applyFill="1"/>
    <x:xf numFmtId="0" fontId="3" fillId="13" borderId="0" xfId="0" applyFont="1" applyFill="1" applyAlignment="1">
      <x:alignment wrapText="1"/>
    </x:xf>
    <x:xf numFmtId="0" fontId="6" fillId="14" borderId="0" xfId="0" applyFont="1" applyFill="1"/>
    <x:xf numFmtId="0" fontId="1" fillId="16" borderId="0" xfId="0" applyFont="1" applyFill="1" applyAlignment="1">
      <x:alignment horizontal="center" vertical="center" wrapText="1"/>
    </x:xf>
    <x:xf numFmtId="0" fontId="6" fillId="17" borderId="0" xfId="0" applyFont="1" applyFill="1"/>
    <x:xf numFmtId="0" fontId="6" fillId="18" borderId="0" xfId="0" applyFont="1" applyFill="1"/>
    <x:xf numFmtId="0" fontId="7" fillId="19" borderId="0" xfId="0" applyFont="1" applyFill="1"/>
    <x:xf numFmtId="49" fontId="0" fillId="0" borderId="0" xfId="0" applyNumberFormat="1" applyAlignment="1">
      <x:alignment wrapText="1"/>
    </x:xf>
    <x:xf numFmtId="49" fontId="0" fillId="0" borderId="0" xfId="0" applyNumberFormat="1"/>
    <x:xf numFmtId="0" fontId="16" fillId="0" borderId="0" xfId="0" applyFont="1" applyAlignment="1">
      <x:alignment wrapText="1"/>
    </x:xf>
    <x:xf numFmtId="0" fontId="16" fillId="0" borderId="6" xfId="0" applyFont="1" applyBorder="1" applyAlignment="1">
      <x:alignment wrapText="1"/>
    </x:xf>
    <x:xf numFmtId="0" fontId="16" fillId="0" borderId="5" xfId="0" applyFont="1" applyBorder="1" applyAlignment="1">
      <x:alignment wrapText="1"/>
    </x:xf>
    <x:xf numFmtId="0" fontId="16" fillId="0" borderId="7" xfId="0" applyFont="1" applyBorder="1" applyAlignment="1">
      <x:alignment wrapText="1"/>
    </x:xf>
    <x:xf numFmtId="0" fontId="16" fillId="0" borderId="8" xfId="0" applyFont="1" applyBorder="1" applyAlignment="1">
      <x:alignment wrapText="1"/>
    </x:xf>
    <x:xf numFmtId="0" fontId="16" fillId="0" borderId="9" xfId="0" applyFont="1" applyBorder="1" applyAlignment="1">
      <x:alignment wrapText="1"/>
    </x:xf>
    <x:xf numFmtId="0" fontId="18" fillId="23" borderId="0" xfId="0" applyFont="1" applyFill="1" applyAlignment="1">
      <x:alignment horizontal="center" vertical="center" wrapText="1"/>
    </x:xf>
    <x:xf numFmtId="0" fontId="16" fillId="0" borderId="3" xfId="0" applyFont="1" applyBorder="1" applyAlignment="1">
      <x:alignment wrapText="1"/>
    </x:xf>
    <x:xf numFmtId="0" fontId="16" fillId="0" borderId="4" xfId="0" applyFont="1" applyBorder="1" applyAlignment="1">
      <x:alignment wrapText="1"/>
    </x:xf>
    <x:xf numFmtId="0" fontId="28" fillId="28" borderId="5" xfId="0" applyFont="1" applyFill="1" applyBorder="1" applyAlignment="1">
      <x:alignment horizontal="center" wrapText="1"/>
    </x:xf>
    <x:xf numFmtId="0" fontId="28" fillId="28" borderId="0" xfId="0" applyFont="1" applyFill="1" applyAlignment="1">
      <x:alignment horizontal="center" wrapText="1"/>
    </x:xf>
    <x:xf numFmtId="0" fontId="28" fillId="28" borderId="6" xfId="0" applyFont="1" applyFill="1" applyBorder="1" applyAlignment="1">
      <x:alignment horizontal="center" wrapText="1"/>
    </x:xf>
    <x:xf numFmtId="0" fontId="32" fillId="0" borderId="0" xfId="0" applyFont="1"/>
    <x:xf numFmtId="0" fontId="32" fillId="0" borderId="0" xfId="0" applyFont="1" applyAlignment="1">
      <x:alignment vertical="top" wrapText="1"/>
    </x:xf>
    <x:xf numFmtId="0" fontId="33" fillId="30" borderId="0" xfId="0" applyFont="1" applyFill="1" applyAlignment="1">
      <x:alignment vertical="top" wrapText="1"/>
    </x:xf>
    <x:xf numFmtId="0" fontId="34" fillId="30" borderId="0" xfId="0" applyFont="1" applyFill="1" applyAlignment="1">
      <x:alignment vertical="top" wrapText="1"/>
    </x:xf>
    <x:xf numFmtId="0" fontId="35" fillId="0" borderId="0" xfId="0" applyFont="1" applyAlignment="1">
      <x:alignment vertical="top" wrapText="1"/>
    </x:xf>
    <x:xf numFmtId="0" fontId="36" fillId="29" borderId="0" xfId="0" applyFont="1" applyFill="1" applyAlignment="1">
      <x:alignment vertical="top" wrapText="1"/>
    </x:xf>
    <x:xf numFmtId="165" fontId="36" fillId="29" borderId="0" xfId="0" applyNumberFormat="1" applyFont="1" applyFill="1" applyAlignment="1">
      <x:alignment vertical="top" wrapText="1"/>
    </x:xf>
    <x:xf numFmtId="49" fontId="36" fillId="29" borderId="0" xfId="0" applyNumberFormat="1" applyFont="1" applyFill="1" applyAlignment="1">
      <x:alignment vertical="top" wrapText="1"/>
    </x:xf>
    <x:xf numFmtId="0" fontId="36" fillId="31" borderId="0" xfId="0" applyFont="1" applyFill="1" applyAlignment="1">
      <x:alignment vertical="top" wrapText="1"/>
    </x:xf>
    <x:xf numFmtId="0" fontId="36" fillId="32" borderId="0" xfId="0" applyFont="1" applyFill="1" applyAlignment="1">
      <x:alignment vertical="top" wrapText="1"/>
    </x:xf>
    <x:xf numFmtId="0" fontId="32" fillId="33" borderId="0" xfId="0" applyFont="1" applyFill="1" applyAlignment="1">
      <x:alignment vertical="top" wrapText="1"/>
    </x:xf>
    <x:xf numFmtId="0" fontId="36" fillId="33" borderId="0" xfId="0" applyFont="1" applyFill="1" applyAlignment="1">
      <x:alignment vertical="top" wrapText="1"/>
    </x:xf>
    <x:xf numFmtId="0" fontId="36" fillId="34" borderId="0" xfId="0" applyFont="1" applyFill="1" applyAlignment="1">
      <x:alignment vertical="top" wrapText="1"/>
    </x:xf>
    <x:xf numFmtId="0" fontId="36" fillId="35" borderId="0" xfId="0" applyFont="1" applyFill="1" applyAlignment="1">
      <x:alignment vertical="top" wrapText="1"/>
    </x:xf>
    <x:xf numFmtId="0" fontId="36" fillId="32" borderId="0" xfId="0" applyFont="1" applyFill="1"/>
    <x:xf numFmtId="0" fontId="36" fillId="36" borderId="0" xfId="0" applyFont="1" applyFill="1"/>
    <x:xf numFmtId="0" fontId="37" fillId="0" borderId="0" xfId="1" applyAlignment="1">
      <x:alignment vertical="top" wrapText="1"/>
    </x:xf>
    <x:xf numFmtId="49" fontId="32" fillId="0" borderId="0" xfId="0" applyNumberFormat="1" applyFont="1" applyAlignment="1">
      <x:alignment vertical="top" wrapText="1"/>
    </x:xf>
    <x:xf numFmtId="8" fontId="32" fillId="0" borderId="0" xfId="0" applyNumberFormat="1" applyFont="1" applyAlignment="1">
      <x:alignment vertical="top" wrapText="1"/>
    </x:xf>
    <x:xf numFmtId="8" fontId="0" fillId="0" borderId="0" xfId="0" applyNumberFormat="1"/>
    <x:xf numFmtId="8" fontId="36" fillId="29" borderId="0" xfId="0" applyNumberFormat="1" applyFont="1" applyFill="1" applyAlignment="1">
      <x:alignment vertical="top" wrapText="1"/>
    </x:xf>
    <x:xf numFmtId="8" fontId="32" fillId="33" borderId="0" xfId="0" applyNumberFormat="1" applyFont="1" applyFill="1" applyAlignment="1">
      <x:alignment vertical="top" wrapText="1"/>
    </x:xf>
    <x:xf numFmtId="14" fontId="32" fillId="0" borderId="0" xfId="0" applyNumberFormat="1" applyFont="1" applyAlignment="1">
      <x:alignment vertical="top" wrapText="1"/>
    </x:xf>
    <x:xf numFmtId="172" fontId="32" fillId="0" borderId="0" xfId="0" applyNumberFormat="1" applyFont="1" applyAlignment="1">
      <x:alignment vertical="top" wrapText="1"/>
    </x:xf>
    <x:xf numFmtId="168" fontId="32" fillId="0" borderId="0" xfId="0" applyNumberFormat="1" applyFont="1" applyAlignment="1">
      <x:alignment vertical="top" wrapText="1"/>
    </x:xf>
    <x:xf numFmtId="6" fontId="32" fillId="33" borderId="0" xfId="0" applyNumberFormat="1" applyFont="1" applyFill="1" applyAlignment="1">
      <x:alignment vertical="top" wrapText="1"/>
    </x:xf>
    <x:xf numFmtId="10" fontId="32" fillId="33" borderId="0" xfId="0" applyNumberFormat="1" applyFont="1" applyFill="1" applyAlignment="1">
      <x:alignment vertical="top" wrapText="1"/>
    </x:xf>
    <x:xf numFmtId="15" fontId="0" fillId="0" borderId="0" xfId="0" applyNumberFormat="1"/>
    <x:xf numFmtId="0" fontId="6" fillId="4" borderId="0" xfId="0" applyFont="1" applyFill="1"/>
    <x:xf numFmtId="0" fontId="9" fillId="15" borderId="0" xfId="0" applyFont="1" applyFill="1" applyAlignment="1">
      <x:alignment horizontal="center" vertical="center" wrapText="1"/>
    </x:xf>
    <x:xf numFmtId="0" fontId="8" fillId="0" borderId="0" xfId="0" applyFont="1" applyAlignment="1">
      <x:alignment vertical="center" wrapText="1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/>
    </x:xf>
    <x:xf numFmtId="49" fontId="4" fillId="3" borderId="0" xfId="0" applyNumberFormat="1" applyFont="1" applyFill="1" applyAlignment="1">
      <x:alignment horizontal="left"/>
    </x:xf>
    <x:xf numFmtId="0" fontId="5" fillId="0" borderId="0" xfId="0" applyFont="1"/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horizontal="center" wrapText="1"/>
    </x:xf>
    <x:xf numFmtId="0" fontId="3" fillId="5" borderId="0" xfId="0" applyFont="1" applyFill="1"/>
    <x:xf numFmtId="0" fontId="0" fillId="0" borderId="0" xfId="0" applyAlignment="1">
      <x:alignment vertical="top" wrapText="1"/>
    </x:xf>
    <x:xf numFmtId="0" fontId="7" fillId="6" borderId="0" xfId="0" applyFont="1" applyFill="1"/>
    <x:xf numFmtId="0" fontId="1" fillId="7" borderId="0" xfId="0" applyFont="1" applyFill="1" applyAlignment="1">
      <x:alignment horizontal="center" vertical="center" wrapText="1"/>
    </x:xf>
    <x:xf numFmtId="0" fontId="21" fillId="25" borderId="10" xfId="0" applyFont="1" applyFill="1" applyBorder="1" applyAlignment="1">
      <x:alignment vertical="center" wrapText="1"/>
    </x:xf>
    <x:xf numFmtId="0" fontId="30" fillId="25" borderId="11" xfId="0" applyFont="1" applyFill="1" applyBorder="1" applyAlignment="1">
      <x:alignment wrapText="1"/>
    </x:xf>
    <x:xf numFmtId="0" fontId="30" fillId="25" borderId="12" xfId="0" applyFont="1" applyFill="1" applyBorder="1" applyAlignment="1">
      <x:alignment wrapText="1"/>
    </x:xf>
    <x:xf numFmtId="0" fontId="26" fillId="26" borderId="5" xfId="0" applyFont="1" applyFill="1" applyBorder="1" applyAlignment="1">
      <x:alignment vertical="top" wrapText="1"/>
    </x:xf>
    <x:xf numFmtId="0" fontId="16" fillId="26" borderId="0" xfId="0" applyFont="1" applyFill="1" applyAlignment="1">
      <x:alignment wrapText="1"/>
    </x:xf>
    <x:xf numFmtId="0" fontId="16" fillId="26" borderId="6" xfId="0" applyFont="1" applyFill="1" applyBorder="1" applyAlignment="1">
      <x:alignment wrapText="1"/>
    </x:xf>
    <x:xf numFmtId="0" fontId="16" fillId="26" borderId="5" xfId="0" applyFont="1" applyFill="1" applyBorder="1" applyAlignment="1">
      <x:alignment wrapText="1"/>
    </x:xf>
    <x:xf numFmtId="0" fontId="16" fillId="26" borderId="7" xfId="0" applyFont="1" applyFill="1" applyBorder="1" applyAlignment="1">
      <x:alignment wrapText="1"/>
    </x:xf>
    <x:xf numFmtId="0" fontId="16" fillId="26" borderId="8" xfId="0" applyFont="1" applyFill="1" applyBorder="1" applyAlignment="1">
      <x:alignment wrapText="1"/>
    </x:xf>
    <x:xf numFmtId="0" fontId="16" fillId="26" borderId="9" xfId="0" applyFont="1" applyFill="1" applyBorder="1" applyAlignment="1">
      <x:alignment wrapText="1"/>
    </x:xf>
    <x:xf numFmtId="0" fontId="24" fillId="27" borderId="10" xfId="0" applyFont="1" applyFill="1" applyBorder="1" applyAlignment="1">
      <x:alignment vertical="center" wrapText="1"/>
    </x:xf>
    <x:xf numFmtId="0" fontId="25" fillId="27" borderId="11" xfId="0" applyFont="1" applyFill="1" applyBorder="1" applyAlignment="1">
      <x:alignment wrapText="1"/>
    </x:xf>
    <x:xf numFmtId="0" fontId="25" fillId="27" borderId="12" xfId="0" applyFont="1" applyFill="1" applyBorder="1" applyAlignment="1">
      <x:alignment wrapText="1"/>
    </x:xf>
    <x:xf numFmtId="0" fontId="17" fillId="25" borderId="2" xfId="0" applyFont="1" applyFill="1" applyBorder="1" applyAlignment="1">
      <x:alignment horizontal="center" vertical="center" wrapText="1"/>
    </x:xf>
    <x:xf numFmtId="0" fontId="30" fillId="25" borderId="5" xfId="0" applyFont="1" applyFill="1" applyBorder="1" applyAlignment="1">
      <x:alignment wrapText="1"/>
    </x:xf>
    <x:xf numFmtId="0" fontId="30" fillId="25" borderId="7" xfId="0" applyFont="1" applyFill="1" applyBorder="1" applyAlignment="1">
      <x:alignment wrapText="1"/>
    </x:xf>
    <x:xf numFmtId="0" fontId="18" fillId="24" borderId="3" xfId="0" applyFont="1" applyFill="1" applyBorder="1" applyAlignment="1">
      <x:alignment wrapText="1"/>
    </x:xf>
    <x:xf numFmtId="0" fontId="30" fillId="24" borderId="4" xfId="0" applyFont="1" applyFill="1" applyBorder="1" applyAlignment="1">
      <x:alignment wrapText="1"/>
    </x:xf>
    <x:xf numFmtId="0" fontId="19" fillId="24" borderId="0" xfId="0" applyFont="1" applyFill="1" applyAlignment="1">
      <x:alignment vertical="center" wrapText="1"/>
    </x:xf>
    <x:xf numFmtId="0" fontId="22" fillId="24" borderId="6" xfId="0" applyFont="1" applyFill="1" applyBorder="1" applyAlignment="1">
      <x:alignment wrapText="1"/>
    </x:xf>
    <x:xf numFmtId="0" fontId="20" fillId="24" borderId="8" xfId="0" applyFont="1" applyFill="1" applyBorder="1" applyAlignment="1">
      <x:alignment vertical="top" wrapText="1"/>
    </x:xf>
    <x:xf numFmtId="0" fontId="16" fillId="24" borderId="9" xfId="0" applyFont="1" applyFill="1" applyBorder="1" applyAlignment="1">
      <x:alignment wrapText="1"/>
    </x:xf>
    <x:xf numFmtId="166" fontId="19" fillId="24" borderId="0" xfId="0" applyNumberFormat="1" applyFont="1" applyFill="1" applyAlignment="1">
      <x:alignment vertical="center" wrapText="1"/>
    </x:xf>
    <x:xf numFmtId="166" fontId="22" fillId="24" borderId="6" xfId="0" applyNumberFormat="1" applyFont="1" applyFill="1" applyBorder="1" applyAlignment="1">
      <x:alignment wrapText="1"/>
    </x:xf>
    <x:xf numFmtId="0" fontId="10" fillId="20" borderId="0" xfId="0" applyFont="1" applyFill="1" applyAlignment="1">
      <x:alignment horizontal="center" vertical="center" wrapText="1"/>
    </x:xf>
    <x:xf numFmtId="0" fontId="11" fillId="20" borderId="1" xfId="0" applyFont="1" applyFill="1" applyBorder="1" applyAlignment="1">
      <x:alignment wrapText="1"/>
    </x:xf>
    <x:xf numFmtId="0" fontId="11" fillId="20" borderId="0" xfId="0" applyFont="1" applyFill="1" applyAlignment="1">
      <x:alignment wrapText="1"/>
    </x:xf>
    <x:xf numFmtId="0" fontId="12" fillId="20" borderId="0" xfId="0" applyFont="1" applyFill="1" applyAlignment="1">
      <x:alignment wrapText="1"/>
    </x:xf>
    <x:xf numFmtId="0" fontId="14" fillId="20" borderId="0" xfId="0" applyFont="1" applyFill="1" applyAlignment="1">
      <x:alignment vertical="top" wrapText="1"/>
    </x:xf>
    <x:xf numFmtId="0" fontId="13" fillId="20" borderId="0" xfId="0" applyFont="1" applyFill="1" applyAlignment="1">
      <x:alignment horizontal="center" wrapText="1"/>
    </x:xf>
    <x:xf numFmtId="0" fontId="15" fillId="20" borderId="0" xfId="0" applyFont="1" applyFill="1" applyAlignment="1">
      <x:alignment horizontal="center" vertical="top" wrapText="1"/>
    </x:xf>
    <x:xf numFmtId="0" fontId="16" fillId="25" borderId="11" xfId="0" applyFont="1" applyFill="1" applyBorder="1" applyAlignment="1">
      <x:alignment wrapText="1"/>
    </x:xf>
    <x:xf numFmtId="0" fontId="16" fillId="25" borderId="12" xfId="0" applyFont="1" applyFill="1" applyBorder="1" applyAlignment="1">
      <x:alignment wrapText="1"/>
    </x:xf>
    <x:xf numFmtId="0" fontId="18" fillId="23" borderId="5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wrapText="1"/>
    </x:xf>
    <x:xf numFmtId="0" fontId="18" fillId="23" borderId="0" xfId="0" applyFont="1" applyFill="1" applyAlignment="1">
      <x:alignment horizontal="center" vertical="center" wrapText="1"/>
    </x:xf>
    <x:xf numFmtId="0" fontId="16" fillId="0" borderId="6" xfId="0" applyFont="1" applyBorder="1" applyAlignment="1">
      <x:alignment wrapText="1"/>
    </x:xf>
    <x:xf numFmtId="0" fontId="16" fillId="24" borderId="4" xfId="0" applyFont="1" applyFill="1" applyBorder="1" applyAlignment="1">
      <x:alignment wrapText="1"/>
    </x:xf>
    <x:xf numFmtId="0" fontId="27" fillId="24" borderId="0" xfId="0" applyFont="1" applyFill="1" applyAlignment="1">
      <x:alignment vertical="center" wrapText="1"/>
    </x:xf>
    <x:xf numFmtId="0" fontId="31" fillId="24" borderId="6" xfId="0" applyFont="1" applyFill="1" applyBorder="1" applyAlignment="1">
      <x:alignment wrapText="1"/>
    </x:xf>
    <x:xf numFmtId="0" fontId="21" fillId="21" borderId="10" xfId="0" applyFont="1" applyFill="1" applyBorder="1" applyAlignment="1">
      <x:alignment vertical="center" wrapText="1"/>
    </x:xf>
    <x:xf numFmtId="0" fontId="16" fillId="0" borderId="11" xfId="0" applyFont="1" applyBorder="1" applyAlignment="1">
      <x:alignment wrapText="1"/>
    </x:xf>
    <x:xf numFmtId="0" fontId="16" fillId="0" borderId="12" xfId="0" applyFont="1" applyBorder="1" applyAlignment="1">
      <x:alignment wrapText="1"/>
    </x:xf>
    <x:xf numFmtId="0" fontId="26" fillId="22" borderId="5" xfId="0" applyFont="1" applyFill="1" applyBorder="1" applyAlignment="1">
      <x:alignment vertical="top" wrapText="1"/>
    </x:xf>
    <x:xf numFmtId="0" fontId="16" fillId="0" borderId="5" xfId="0" applyFont="1" applyBorder="1" applyAlignment="1">
      <x:alignment wrapText="1"/>
    </x:xf>
    <x:xf numFmtId="0" fontId="16" fillId="0" borderId="7" xfId="0" applyFont="1" applyBorder="1" applyAlignment="1">
      <x:alignment wrapText="1"/>
    </x:xf>
    <x:xf numFmtId="0" fontId="16" fillId="0" borderId="8" xfId="0" applyFont="1" applyBorder="1" applyAlignment="1">
      <x:alignment wrapText="1"/>
    </x:xf>
    <x:xf numFmtId="0" fontId="16" fillId="0" borderId="9" xfId="0" applyFont="1" applyBorder="1" applyAlignment="1">
      <x:alignment wrapText="1"/>
    </x:xf>
    <x:xf numFmtId="0" fontId="16" fillId="24" borderId="6" xfId="0" applyFont="1" applyFill="1" applyBorder="1" applyAlignment="1">
      <x:alignment wrapText="1"/>
    </x:xf>
    <x:xf numFmtId="0" fontId="38" fillId="35" borderId="0" xfId="0" applyFont="1" applyFill="1" applyAlignment="1">
      <x:alignment wrapText="1"/>
    </x:xf>
    <x:xf numFmtId="0" fontId="0" fillId="40" borderId="0" xfId="0" applyFill="1" applyAlignment="1">
      <x:alignment wrapText="1"/>
    </x:xf>
    <x:xf numFmtId="49" fontId="0" fillId="40" borderId="0" xfId="0" applyNumberFormat="1" applyFill="1" applyAlignment="1">
      <x:alignment wrapText="1"/>
    </x:xf>
    <x:xf numFmtId="14" fontId="0" fillId="40" borderId="0" xfId="0" applyNumberFormat="1" applyFill="1" applyAlignment="1">
      <x:alignment wrapText="1"/>
    </x:xf>
    <x:xf numFmtId="0" fontId="0" fillId="38" borderId="0" xfId="0" applyFill="1" applyAlignment="1">
      <x:alignment wrapText="1"/>
    </x:xf>
    <x:xf numFmtId="49" fontId="0" fillId="38" borderId="0" xfId="0" applyNumberFormat="1" applyFill="1" applyAlignment="1">
      <x:alignment wrapText="1"/>
    </x:xf>
    <x:xf numFmtId="3" fontId="0" fillId="38" borderId="0" xfId="0" applyNumberFormat="1" applyFill="1" applyAlignment="1">
      <x:alignment wrapText="1"/>
    </x:xf>
    <x:xf numFmtId="3" fontId="0" fillId="40" borderId="0" xfId="0" applyNumberFormat="1" applyFill="1" applyAlignment="1">
      <x:alignment wrapText="1"/>
    </x:xf>
    <x:xf numFmtId="164" fontId="0" fillId="40" borderId="0" xfId="0" applyNumberFormat="1" applyFill="1" applyAlignment="1">
      <x:alignment wrapText="1"/>
    </x:xf>
    <x:xf numFmtId="165" fontId="0" fillId="40" borderId="0" xfId="0" applyNumberFormat="1" applyFill="1" applyAlignment="1">
      <x:alignment wrapText="1"/>
    </x:xf>
    <x:xf numFmtId="164" fontId="0" fillId="38" borderId="0" xfId="0" applyNumberFormat="1" applyFill="1" applyAlignment="1">
      <x:alignment wrapText="1"/>
    </x:xf>
    <x:xf numFmtId="165" fontId="0" fillId="38" borderId="0" xfId="0" applyNumberFormat="1" applyFill="1" applyAlignment="1">
      <x:alignment wrapText="1"/>
    </x:xf>
    <x:xf numFmtId="166" fontId="0" fillId="40" borderId="0" xfId="0" applyNumberFormat="1" applyFill="1" applyAlignment="1">
      <x:alignment wrapText="1"/>
    </x:xf>
    <x:xf numFmtId="14" fontId="0" fillId="38" borderId="0" xfId="0" applyNumberFormat="1" applyFill="1" applyAlignment="1">
      <x:alignment wrapText="1"/>
    </x:xf>
    <x:xf numFmtId="166" fontId="0" fillId="38" borderId="0" xfId="0" applyNumberFormat="1" applyFill="1" applyAlignment="1">
      <x:alignment wrapText="1"/>
    </x:xf>
    <x:xf numFmtId="49" fontId="0" fillId="40" borderId="0" xfId="0" applyNumberFormat="1" applyFill="1"/>
    <x:xf numFmtId="0" fontId="0" fillId="40" borderId="0" xfId="0" applyFill="1"/>
    <x:xf numFmtId="14" fontId="0" fillId="40" borderId="0" xfId="0" applyNumberFormat="1" applyFill="1"/>
    <x:xf numFmtId="49" fontId="0" fillId="38" borderId="0" xfId="0" applyNumberFormat="1" applyFill="1"/>
    <x:xf numFmtId="0" fontId="0" fillId="38" borderId="0" xfId="0" applyFill="1"/>
    <x:xf numFmtId="14" fontId="0" fillId="38" borderId="0" xfId="0" applyNumberFormat="1" applyFill="1"/>
    <x:xf numFmtId="0" fontId="39" fillId="41" borderId="0" xfId="0" applyFont="1" applyFill="1" applyAlignment="1">
      <x:alignment wrapText="1"/>
    </x:xf>
    <x:xf numFmtId="0" fontId="40" fillId="37" borderId="0" xfId="0" applyFont="1" applyFill="1" applyAlignment="1">
      <x:alignment wrapText="1"/>
    </x:xf>
    <x:xf numFmtId="0" fontId="41" fillId="42" borderId="0" xfId="0" applyFont="1" applyFill="1" applyAlignment="1">
      <x:alignment wrapText="1"/>
    </x:xf>
    <x:xf numFmtId="0" fontId="22" fillId="38" borderId="15" xfId="0" applyFont="1" applyFill="1" applyBorder="1" applyAlignment="1">
      <x:alignment vertical="center" wrapText="1"/>
    </x:xf>
    <x:xf numFmtId="0" fontId="22" fillId="38" borderId="13" xfId="0" applyFont="1" applyFill="1" applyBorder="1" applyAlignment="1">
      <x:alignment vertical="center" wrapText="1"/>
    </x:xf>
    <x:xf numFmtId="0" fontId="23" fillId="38" borderId="13" xfId="0" applyFont="1" applyFill="1" applyBorder="1" applyAlignment="1">
      <x:alignment vertical="center" wrapText="1"/>
    </x:xf>
    <x:xf numFmtId="0" fontId="23" fillId="38" borderId="16" xfId="0" applyFont="1" applyFill="1" applyBorder="1" applyAlignment="1">
      <x:alignment vertical="center" wrapText="1"/>
    </x:xf>
    <x:xf numFmtId="0" fontId="22" fillId="40" borderId="15" xfId="0" applyFont="1" applyFill="1" applyBorder="1" applyAlignment="1">
      <x:alignment vertical="center" wrapText="1"/>
    </x:xf>
    <x:xf numFmtId="0" fontId="22" fillId="40" borderId="13" xfId="0" applyFont="1" applyFill="1" applyBorder="1" applyAlignment="1">
      <x:alignment vertical="center" wrapText="1"/>
    </x:xf>
    <x:xf numFmtId="0" fontId="23" fillId="40" borderId="13" xfId="0" applyFont="1" applyFill="1" applyBorder="1" applyAlignment="1">
      <x:alignment vertical="center" wrapText="1"/>
    </x:xf>
    <x:xf numFmtId="0" fontId="23" fillId="40" borderId="16" xfId="0" applyFont="1" applyFill="1" applyBorder="1" applyAlignment="1">
      <x:alignment vertical="center" wrapText="1"/>
    </x:xf>
    <x:xf numFmtId="166" fontId="23" fillId="38" borderId="13" xfId="0" applyNumberFormat="1" applyFont="1" applyFill="1" applyBorder="1" applyAlignment="1">
      <x:alignment vertical="center" wrapText="1"/>
    </x:xf>
    <x:xf numFmtId="166" fontId="23" fillId="38" borderId="16" xfId="0" applyNumberFormat="1" applyFont="1" applyFill="1" applyBorder="1" applyAlignment="1">
      <x:alignment vertical="center" wrapText="1"/>
    </x:xf>
    <x:xf numFmtId="0" fontId="22" fillId="40" borderId="7" xfId="0" applyFont="1" applyFill="1" applyBorder="1" applyAlignment="1">
      <x:alignment vertical="center" wrapText="1"/>
    </x:xf>
    <x:xf numFmtId="0" fontId="22" fillId="40" borderId="8" xfId="0" applyFont="1" applyFill="1" applyBorder="1" applyAlignment="1">
      <x:alignment vertical="center" wrapText="1"/>
    </x:xf>
    <x:xf numFmtId="0" fontId="23" fillId="40" borderId="8" xfId="0" applyFont="1" applyFill="1" applyBorder="1" applyAlignment="1">
      <x:alignment vertical="center" wrapText="1"/>
    </x:xf>
    <x:xf numFmtId="170" fontId="23" fillId="40" borderId="8" xfId="0" applyNumberFormat="1" applyFont="1" applyFill="1" applyBorder="1" applyAlignment="1">
      <x:alignment vertical="center" wrapText="1"/>
    </x:xf>
    <x:xf numFmtId="0" fontId="23" fillId="40" borderId="9" xfId="0" applyFont="1" applyFill="1" applyBorder="1" applyAlignment="1">
      <x:alignment vertical="center" wrapText="1"/>
    </x:xf>
    <x:xf numFmtId="0" fontId="43" fillId="38" borderId="14" xfId="0" applyFont="1" applyFill="1" applyBorder="1" applyAlignment="1">
      <x:alignment vertical="center" wrapText="1"/>
    </x:xf>
    <x:xf numFmtId="0" fontId="43" fillId="38" borderId="18" xfId="0" applyFont="1" applyFill="1" applyBorder="1" applyAlignment="1">
      <x:alignment vertical="center" wrapText="1"/>
    </x:xf>
    <x:xf numFmtId="0" fontId="45" fillId="42" borderId="17" xfId="0" applyFont="1" applyFill="1" applyBorder="1" applyAlignment="1">
      <x:alignment vertical="center" wrapText="1"/>
    </x:xf>
    <x:xf numFmtId="0" fontId="45" fillId="42" borderId="14" xfId="0" applyFont="1" applyFill="1" applyBorder="1" applyAlignment="1">
      <x:alignment vertical="center" wrapText="1"/>
    </x:xf>
    <x:xf numFmtId="0" fontId="43" fillId="40" borderId="14" xfId="0" applyFont="1" applyFill="1" applyBorder="1" applyAlignment="1">
      <x:alignment vertical="center" wrapText="1"/>
    </x:xf>
    <x:xf numFmtId="0" fontId="43" fillId="40" borderId="18" xfId="0" applyFont="1" applyFill="1" applyBorder="1" applyAlignment="1">
      <x:alignment vertical="center" wrapText="1"/>
    </x:xf>
    <x:xf numFmtId="0" fontId="43" fillId="38" borderId="8" xfId="0" applyFont="1" applyFill="1" applyBorder="1" applyAlignment="1">
      <x:alignment vertical="center" wrapText="1"/>
    </x:xf>
    <x:xf numFmtId="0" fontId="43" fillId="38" borderId="9" xfId="0" applyFont="1" applyFill="1" applyBorder="1" applyAlignment="1">
      <x:alignment vertical="center" wrapText="1"/>
    </x:xf>
    <x:xf numFmtId="0" fontId="46" fillId="37" borderId="7" xfId="0" applyFont="1" applyFill="1" applyBorder="1" applyAlignment="1">
      <x:alignment vertical="center" wrapText="1"/>
    </x:xf>
    <x:xf numFmtId="0" fontId="46" fillId="37" borderId="8" xfId="0" applyFont="1" applyFill="1" applyBorder="1" applyAlignment="1">
      <x:alignment vertical="center" wrapText="1"/>
    </x:xf>
    <x:xf numFmtId="0" fontId="47" fillId="33" borderId="2" xfId="0" applyFont="1" applyFill="1" applyBorder="1" applyAlignment="1">
      <x:alignment horizontal="center" vertical="center" wrapText="1"/>
    </x:xf>
    <x:xf numFmtId="0" fontId="48" fillId="33" borderId="3" xfId="0" applyFont="1" applyFill="1" applyBorder="1" applyAlignment="1">
      <x:alignment wrapText="1"/>
    </x:xf>
    <x:xf numFmtId="0" fontId="44" fillId="33" borderId="4" xfId="0" applyFont="1" applyFill="1" applyBorder="1" applyAlignment="1">
      <x:alignment wrapText="1"/>
    </x:xf>
    <x:xf numFmtId="0" fontId="42" fillId="33" borderId="5" xfId="0" applyFont="1" applyFill="1" applyBorder="1" applyAlignment="1">
      <x:alignment wrapText="1"/>
    </x:xf>
    <x:xf numFmtId="0" fontId="47" fillId="33" borderId="0" xfId="0" applyFont="1" applyFill="1" applyAlignment="1">
      <x:alignment vertical="center" wrapText="1"/>
    </x:xf>
    <x:xf numFmtId="0" fontId="42" fillId="33" borderId="6" xfId="0" applyFont="1" applyFill="1" applyBorder="1" applyAlignment="1">
      <x:alignment wrapText="1"/>
    </x:xf>
    <x:xf numFmtId="0" fontId="42" fillId="33" borderId="7" xfId="0" applyFont="1" applyFill="1" applyBorder="1" applyAlignment="1">
      <x:alignment wrapText="1"/>
    </x:xf>
    <x:xf numFmtId="0" fontId="49" fillId="33" borderId="8" xfId="0" applyFont="1" applyFill="1" applyBorder="1" applyAlignment="1">
      <x:alignment vertical="top" wrapText="1"/>
    </x:xf>
    <x:xf numFmtId="0" fontId="44" fillId="33" borderId="9" xfId="0" applyFont="1" applyFill="1" applyBorder="1" applyAlignment="1">
      <x:alignment wrapText="1"/>
    </x:xf>
    <x:xf numFmtId="0" fontId="50" fillId="43" borderId="10" xfId="0" applyFont="1" applyFill="1" applyBorder="1" applyAlignment="1">
      <x:alignment vertical="center" wrapText="1"/>
    </x:xf>
    <x:xf numFmtId="0" fontId="51" fillId="43" borderId="11" xfId="0" applyFont="1" applyFill="1" applyBorder="1" applyAlignment="1">
      <x:alignment wrapText="1"/>
    </x:xf>
    <x:xf numFmtId="0" fontId="51" fillId="43" borderId="12" xfId="0" applyFont="1" applyFill="1" applyBorder="1" applyAlignment="1">
      <x:alignment wrapText="1"/>
    </x:xf>
    <x:xf numFmtId="0" fontId="52" fillId="33" borderId="5" xfId="0" applyFont="1" applyFill="1" applyBorder="1" applyAlignment="1">
      <x:alignment vertical="center" wrapText="1"/>
    </x:xf>
    <x:xf numFmtId="0" fontId="44" fillId="33" borderId="0" xfId="0" applyFont="1" applyFill="1" applyAlignment="1">
      <x:alignment wrapText="1"/>
    </x:xf>
    <x:xf numFmtId="0" fontId="44" fillId="33" borderId="6" xfId="0" applyFont="1" applyFill="1" applyBorder="1" applyAlignment="1">
      <x:alignment wrapText="1"/>
    </x:xf>
    <x:xf numFmtId="0" fontId="44" fillId="33" borderId="7" xfId="0" applyFont="1" applyFill="1" applyBorder="1" applyAlignment="1">
      <x:alignment wrapText="1"/>
    </x:xf>
    <x:xf numFmtId="0" fontId="44" fillId="33" borderId="8" xfId="0" applyFont="1" applyFill="1" applyBorder="1" applyAlignment="1">
      <x:alignment wrapText="1"/>
    </x:xf>
    <x:xf numFmtId="0" fontId="43" fillId="38" borderId="13" xfId="0" applyFont="1" applyFill="1" applyBorder="1" applyAlignment="1">
      <x:alignment vertical="center" wrapText="1"/>
    </x:xf>
    <x:xf numFmtId="0" fontId="43" fillId="38" borderId="13" xfId="0" applyFont="1" applyFill="1" applyBorder="1" applyAlignment="1">
      <x:alignment vertical="center" wrapText="1"/>
    </x:xf>
    <x:xf numFmtId="171" fontId="43" fillId="38" borderId="13" xfId="0" applyNumberFormat="1" applyFont="1" applyFill="1" applyBorder="1" applyAlignment="1">
      <x:alignment vertical="center" wrapText="1"/>
    </x:xf>
    <x:xf numFmtId="0" fontId="43" fillId="38" borderId="16" xfId="0" applyFont="1" applyFill="1" applyBorder="1" applyAlignment="1">
      <x:alignment vertical="center" wrapText="1"/>
    </x:xf>
    <x:xf numFmtId="0" fontId="43" fillId="38" borderId="15" xfId="0" applyFont="1" applyFill="1" applyBorder="1" applyAlignment="1">
      <x:alignment vertical="center" wrapText="1"/>
    </x:xf>
    <x:xf numFmtId="0" fontId="53" fillId="41" borderId="13" xfId="0" applyFont="1" applyFill="1" applyBorder="1" applyAlignment="1">
      <x:alignment vertical="center" wrapText="1"/>
    </x:xf>
    <x:xf numFmtId="0" fontId="43" fillId="40" borderId="13" xfId="0" applyFont="1" applyFill="1" applyBorder="1" applyAlignment="1">
      <x:alignment vertical="center" wrapText="1"/>
    </x:xf>
    <x:xf numFmtId="0" fontId="43" fillId="40" borderId="13" xfId="0" applyFont="1" applyFill="1" applyBorder="1" applyAlignment="1">
      <x:alignment vertical="center" wrapText="1"/>
    </x:xf>
    <x:xf numFmtId="171" fontId="43" fillId="40" borderId="13" xfId="0" applyNumberFormat="1" applyFont="1" applyFill="1" applyBorder="1" applyAlignment="1">
      <x:alignment vertical="center" wrapText="1"/>
    </x:xf>
    <x:xf numFmtId="0" fontId="43" fillId="40" borderId="16" xfId="0" applyFont="1" applyFill="1" applyBorder="1" applyAlignment="1">
      <x:alignment vertical="center" wrapText="1"/>
    </x:xf>
    <x:xf numFmtId="0" fontId="43" fillId="40" borderId="15" xfId="0" applyFont="1" applyFill="1" applyBorder="1" applyAlignment="1">
      <x:alignment vertical="center" wrapText="1"/>
    </x:xf>
    <x:xf numFmtId="0" fontId="54" fillId="39" borderId="13" xfId="0" applyFont="1" applyFill="1" applyBorder="1" applyAlignment="1">
      <x:alignment vertical="center" wrapText="1"/>
    </x:xf>
    <x:xf numFmtId="171" fontId="53" fillId="40" borderId="13" xfId="0" applyNumberFormat="1" applyFont="1" applyFill="1" applyBorder="1" applyAlignment="1">
      <x:alignment vertical="center" wrapText="1"/>
    </x:xf>
    <x:xf numFmtId="171" fontId="53" fillId="38" borderId="13" xfId="0" applyNumberFormat="1" applyFont="1" applyFill="1" applyBorder="1" applyAlignment="1">
      <x:alignment vertical="center" wrapText="1"/>
    </x:xf>
    <x:xf numFmtId="0" fontId="43" fillId="40" borderId="7" xfId="0" applyFont="1" applyFill="1" applyBorder="1" applyAlignment="1">
      <x:alignment vertical="center" wrapText="1"/>
    </x:xf>
    <x:xf numFmtId="0" fontId="43" fillId="40" borderId="8" xfId="0" applyFont="1" applyFill="1" applyBorder="1" applyAlignment="1">
      <x:alignment vertical="center" wrapText="1"/>
    </x:xf>
    <x:xf numFmtId="0" fontId="43" fillId="40" borderId="8" xfId="0" applyFont="1" applyFill="1" applyBorder="1" applyAlignment="1">
      <x:alignment vertical="center" wrapText="1"/>
    </x:xf>
    <x:xf numFmtId="171" fontId="43" fillId="40" borderId="8" xfId="0" applyNumberFormat="1" applyFont="1" applyFill="1" applyBorder="1" applyAlignment="1">
      <x:alignment vertical="center" wrapText="1"/>
    </x:xf>
    <x:xf numFmtId="0" fontId="43" fillId="40" borderId="9" xfId="0" applyFont="1" applyFill="1" applyBorder="1" applyAlignment="1">
      <x:alignment vertical="center" wrapText="1"/>
    </x:xf>
    <x:xf numFmtId="0" fontId="49" fillId="38" borderId="15" xfId="0" applyFont="1" applyFill="1" applyBorder="1" applyAlignment="1">
      <x:alignment horizontal="center" vertical="center" wrapText="1"/>
    </x:xf>
    <x:xf numFmtId="0" fontId="49" fillId="38" borderId="13" xfId="0" applyFont="1" applyFill="1" applyBorder="1" applyAlignment="1">
      <x:alignment horizontal="center" vertical="center" wrapText="1"/>
    </x:xf>
    <x:xf numFmtId="0" fontId="55" fillId="41" borderId="13" xfId="0" applyFont="1" applyFill="1" applyBorder="1" applyAlignment="1">
      <x:alignment horizontal="center" vertical="center" wrapText="1"/>
    </x:xf>
    <x:xf numFmtId="0" fontId="49" fillId="40" borderId="15" xfId="0" applyFont="1" applyFill="1" applyBorder="1" applyAlignment="1">
      <x:alignment horizontal="center" vertical="center" wrapText="1"/>
    </x:xf>
    <x:xf numFmtId="0" fontId="49" fillId="40" borderId="13" xfId="0" applyFont="1" applyFill="1" applyBorder="1" applyAlignment="1">
      <x:alignment horizontal="center" vertical="center" wrapText="1"/>
    </x:xf>
    <x:xf numFmtId="0" fontId="56" fillId="37" borderId="13" xfId="0" applyFont="1" applyFill="1" applyBorder="1" applyAlignment="1">
      <x:alignment horizontal="center" vertical="center" wrapText="1"/>
    </x:xf>
    <x:xf numFmtId="0" fontId="29" fillId="38" borderId="5" xfId="0" applyFont="1" applyFill="1" applyBorder="1" applyAlignment="1">
      <x:alignment horizontal="center" vertical="center" wrapText="1"/>
    </x:xf>
    <x:xf numFmtId="0" fontId="29" fillId="38" borderId="0" xfId="0" applyFont="1" applyFill="1" applyAlignment="1">
      <x:alignment horizontal="center" vertical="center" wrapText="1"/>
    </x:xf>
    <x:xf numFmtId="0" fontId="49" fillId="38" borderId="0" xfId="0" applyFont="1" applyFill="1" applyAlignment="1">
      <x:alignment horizontal="center" vertical="center" wrapText="1"/>
    </x:xf>
    <x:xf numFmtId="0" fontId="49" fillId="38" borderId="6" xfId="0" applyFont="1" applyFill="1" applyBorder="1" applyAlignment="1">
      <x:alignment horizontal="center" vertical="center" wrapText="1"/>
    </x:xf>
    <x:xf numFmtId="0" fontId="29" fillId="40" borderId="5" xfId="0" applyFont="1" applyFill="1" applyBorder="1" applyAlignment="1">
      <x:alignment horizontal="center" vertical="center" wrapText="1"/>
    </x:xf>
    <x:xf numFmtId="0" fontId="29" fillId="40" borderId="0" xfId="0" applyFont="1" applyFill="1" applyAlignment="1">
      <x:alignment horizontal="center" vertical="center" wrapText="1"/>
    </x:xf>
    <x:xf numFmtId="0" fontId="49" fillId="40" borderId="0" xfId="0" applyFont="1" applyFill="1" applyAlignment="1">
      <x:alignment horizontal="center" vertical="center" wrapText="1"/>
    </x:xf>
    <x:xf numFmtId="0" fontId="49" fillId="40" borderId="6" xfId="0" applyFont="1" applyFill="1" applyBorder="1" applyAlignment="1">
      <x:alignment horizontal="center" vertical="center" wrapText="1"/>
    </x:xf>
    <x:xf numFmtId="0" fontId="29" fillId="40" borderId="7" xfId="0" applyFont="1" applyFill="1" applyBorder="1" applyAlignment="1">
      <x:alignment horizontal="center" vertical="center" wrapText="1"/>
    </x:xf>
    <x:xf numFmtId="0" fontId="29" fillId="40" borderId="8" xfId="0" applyFont="1" applyFill="1" applyBorder="1" applyAlignment="1">
      <x:alignment horizontal="center" vertical="center" wrapText="1"/>
    </x:xf>
    <x:xf numFmtId="0" fontId="49" fillId="40" borderId="8" xfId="0" applyFont="1" applyFill="1" applyBorder="1" applyAlignment="1">
      <x:alignment horizontal="center" vertical="center" wrapText="1"/>
    </x:xf>
    <x:xf numFmtId="0" fontId="49" fillId="40" borderId="9" xfId="0" applyFont="1" applyFill="1" applyBorder="1" applyAlignment="1">
      <x:alignment horizontal="center" vertical="center" wrapText="1"/>
    </x:xf>
    <x:xf numFmtId="0" fontId="18" fillId="33" borderId="5" xfId="0" applyFont="1" applyFill="1" applyBorder="1" applyAlignment="1">
      <x:alignment horizontal="center" vertical="center" wrapText="1"/>
    </x:xf>
    <x:xf numFmtId="0" fontId="26" fillId="33" borderId="0" xfId="0" applyFont="1" applyFill="1" applyAlignment="1">
      <x:alignment horizontal="center" vertical="center" wrapText="1"/>
    </x:xf>
    <x:xf numFmtId="0" fontId="18" fillId="33" borderId="15" xfId="0" applyFont="1" applyFill="1" applyBorder="1" applyAlignment="1">
      <x:alignment horizontal="center" vertical="center" wrapText="1"/>
    </x:xf>
    <x:xf numFmtId="169" fontId="43" fillId="33" borderId="13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/>
    <x:xf numFmtId="0" fontId="3" fillId="0" borderId="19" xfId="0" applyNumberFormat="1" applyFont="1" applyFill="1" applyBorder="1"/>
    <x:xf numFmtId="0" fontId="6" fillId="4" borderId="19" xfId="0" applyNumberFormat="1" applyFont="1" applyFill="1" applyBorder="1"/>
    <x:xf numFmtId="0" fontId="3" fillId="5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7" fillId="6" borderId="19" xfId="0" applyNumberFormat="1" applyFont="1" applyFill="1" applyBorder="1"/>
    <x:xf numFmtId="0" fontId="3" fillId="4" borderId="19" xfId="0" applyNumberFormat="1" applyFont="1" applyFill="1" applyBorder="1"/>
    <x:xf numFmtId="3" fontId="0" fillId="0" borderId="19" xfId="0" applyNumberFormat="1" applyFont="1" applyFill="1" applyBorder="1"/>
    <x:xf numFmtId="3" fontId="0" fillId="0" borderId="19" xfId="0" applyNumberFormat="1" applyFont="1" applyFill="1" applyBorder="1" applyAlignment="1">
      <x:alignment wrapText="1"/>
    </x:xf>
    <x:xf numFmtId="164" fontId="0" fillId="0" borderId="19" xfId="0" applyNumberFormat="1" applyFont="1" applyFill="1" applyBorder="1" applyAlignment="1">
      <x:alignment wrapText="1"/>
    </x:xf>
    <x:xf numFmtId="165" fontId="0" fillId="0" borderId="19" xfId="0" applyNumberFormat="1" applyFont="1" applyFill="1" applyBorder="1" applyAlignment="1">
      <x:alignment wrapText="1"/>
    </x:xf>
    <x:xf numFmtId="166" fontId="0" fillId="0" borderId="19" xfId="0" applyNumberFormat="1" applyFont="1" applyFill="1" applyBorder="1" applyAlignment="1">
      <x:alignment wrapText="1"/>
    </x:xf>
    <x:xf numFmtId="166" fontId="0" fillId="0" borderId="19" xfId="0" applyNumberFormat="1" applyFont="1" applyFill="1" applyBorder="1"/>
    <x:xf numFmtId="167" fontId="0" fillId="0" borderId="19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/>
    <x:xf numFmtId="0" fontId="1" fillId="2" borderId="19" xfId="0" applyNumberFormat="1" applyFont="1" applyFill="1" applyBorder="1" applyAlignment="1">
      <x:alignment horizontal="center" vertical="center" wrapText="1"/>
    </x:xf>
    <x:xf numFmtId="49" fontId="0" fillId="0" borderId="19" xfId="0" applyNumberFormat="1" applyFont="1" applyFill="1" applyBorder="1" applyAlignment="1">
      <x:alignment wrapText="1"/>
    </x:xf>
    <x:xf numFmtId="49" fontId="0" fillId="0" borderId="19" xfId="0" applyNumberFormat="1" applyFont="1" applyFill="1" applyBorder="1"/>
    <x:xf numFmtId="0" fontId="16" fillId="0" borderId="19" xfId="0" applyNumberFormat="1" applyFont="1" applyFill="1" applyBorder="1" applyAlignment="1">
      <x:alignment wrapText="1"/>
    </x:xf>
    <x:xf numFmtId="0" fontId="16" fillId="0" borderId="20" xfId="0" applyNumberFormat="1" applyFont="1" applyFill="1" applyBorder="1" applyAlignment="1">
      <x:alignment wrapText="1"/>
    </x:xf>
    <x:xf numFmtId="0" fontId="16" fillId="0" borderId="21" xfId="0" applyNumberFormat="1" applyFont="1" applyFill="1" applyBorder="1" applyAlignment="1">
      <x:alignment wrapText="1"/>
    </x:xf>
    <x:xf numFmtId="0" fontId="16" fillId="0" borderId="22" xfId="0" applyNumberFormat="1" applyFont="1" applyFill="1" applyBorder="1" applyAlignment="1">
      <x:alignment wrapText="1"/>
    </x:xf>
    <x:xf numFmtId="0" fontId="16" fillId="0" borderId="23" xfId="0" applyNumberFormat="1" applyFont="1" applyFill="1" applyBorder="1" applyAlignment="1">
      <x:alignment wrapText="1"/>
    </x:xf>
    <x:xf numFmtId="0" fontId="16" fillId="0" borderId="24" xfId="0" applyNumberFormat="1" applyFont="1" applyFill="1" applyBorder="1" applyAlignment="1">
      <x:alignment wrapText="1"/>
    </x:xf>
    <x:xf numFmtId="0" fontId="18" fillId="23" borderId="19" xfId="0" applyNumberFormat="1" applyFont="1" applyFill="1" applyBorder="1" applyAlignment="1">
      <x:alignment horizontal="center" vertical="center" wrapText="1"/>
    </x:xf>
    <x:xf numFmtId="0" fontId="16" fillId="0" borderId="25" xfId="0" applyNumberFormat="1" applyFont="1" applyFill="1" applyBorder="1" applyAlignment="1">
      <x:alignment wrapText="1"/>
    </x:xf>
    <x:xf numFmtId="0" fontId="16" fillId="0" borderId="26" xfId="0" applyNumberFormat="1" applyFont="1" applyFill="1" applyBorder="1" applyAlignment="1">
      <x:alignment wrapText="1"/>
    </x:xf>
    <x:xf numFmtId="0" fontId="28" fillId="23" borderId="21" xfId="0" applyNumberFormat="1" applyFont="1" applyFill="1" applyBorder="1" applyAlignment="1">
      <x:alignment horizontal="center" wrapText="1"/>
    </x:xf>
    <x:xf numFmtId="0" fontId="28" fillId="23" borderId="19" xfId="0" applyNumberFormat="1" applyFont="1" applyFill="1" applyBorder="1" applyAlignment="1">
      <x:alignment horizontal="center" wrapText="1"/>
    </x:xf>
    <x:xf numFmtId="0" fontId="28" fillId="23" borderId="20" xfId="0" applyNumberFormat="1" applyFont="1" applyFill="1" applyBorder="1" applyAlignment="1">
      <x:alignment horizontal="center" wrapText="1"/>
    </x:xf>
    <x:xf numFmtId="0" fontId="32" fillId="0" borderId="19" xfId="0" applyNumberFormat="1" applyFont="1" applyFill="1" applyBorder="1"/>
    <x:xf numFmtId="0" fontId="32" fillId="0" borderId="19" xfId="0" applyNumberFormat="1" applyFont="1" applyFill="1" applyBorder="1" applyAlignment="1">
      <x:alignment vertical="top" wrapText="1"/>
    </x:xf>
    <x:xf numFmtId="0" fontId="33" fillId="2" borderId="19" xfId="0" applyNumberFormat="1" applyFont="1" applyFill="1" applyBorder="1" applyAlignment="1">
      <x:alignment vertical="top" wrapText="1"/>
    </x:xf>
    <x:xf numFmtId="0" fontId="34" fillId="2" borderId="19" xfId="0" applyNumberFormat="1" applyFont="1" applyFill="1" applyBorder="1" applyAlignment="1">
      <x:alignment vertical="top" wrapText="1"/>
    </x:xf>
    <x:xf numFmtId="0" fontId="35" fillId="0" borderId="19" xfId="0" applyNumberFormat="1" applyFont="1" applyFill="1" applyBorder="1" applyAlignment="1">
      <x:alignment vertical="top" wrapText="1"/>
    </x:xf>
    <x:xf numFmtId="0" fontId="36" fillId="29" borderId="19" xfId="0" applyNumberFormat="1" applyFont="1" applyFill="1" applyBorder="1" applyAlignment="1">
      <x:alignment vertical="top" wrapText="1"/>
    </x:xf>
    <x:xf numFmtId="165" fontId="36" fillId="29" borderId="19" xfId="0" applyNumberFormat="1" applyFont="1" applyFill="1" applyBorder="1" applyAlignment="1">
      <x:alignment vertical="top" wrapText="1"/>
    </x:xf>
    <x:xf numFmtId="49" fontId="36" fillId="29" borderId="19" xfId="0" applyNumberFormat="1" applyFont="1" applyFill="1" applyBorder="1" applyAlignment="1">
      <x:alignment vertical="top" wrapText="1"/>
    </x:xf>
    <x:xf numFmtId="0" fontId="36" fillId="4" borderId="19" xfId="0" applyNumberFormat="1" applyFont="1" applyFill="1" applyBorder="1" applyAlignment="1">
      <x:alignment vertical="top" wrapText="1"/>
    </x:xf>
    <x:xf numFmtId="0" fontId="36" fillId="32" borderId="19" xfId="0" applyNumberFormat="1" applyFont="1" applyFill="1" applyBorder="1" applyAlignment="1">
      <x:alignment vertical="top" wrapText="1"/>
    </x:xf>
    <x:xf numFmtId="0" fontId="32" fillId="33" borderId="19" xfId="0" applyNumberFormat="1" applyFont="1" applyFill="1" applyBorder="1" applyAlignment="1">
      <x:alignment vertical="top" wrapText="1"/>
    </x:xf>
    <x:xf numFmtId="0" fontId="36" fillId="33" borderId="19" xfId="0" applyNumberFormat="1" applyFont="1" applyFill="1" applyBorder="1" applyAlignment="1">
      <x:alignment vertical="top" wrapText="1"/>
    </x:xf>
    <x:xf numFmtId="0" fontId="36" fillId="5" borderId="19" xfId="0" applyNumberFormat="1" applyFont="1" applyFill="1" applyBorder="1" applyAlignment="1">
      <x:alignment vertical="top" wrapText="1"/>
    </x:xf>
    <x:xf numFmtId="0" fontId="36" fillId="3" borderId="19" xfId="0" applyNumberFormat="1" applyFont="1" applyFill="1" applyBorder="1" applyAlignment="1">
      <x:alignment vertical="top" wrapText="1"/>
    </x:xf>
    <x:xf numFmtId="0" fontId="36" fillId="32" borderId="19" xfId="0" applyNumberFormat="1" applyFont="1" applyFill="1" applyBorder="1"/>
    <x:xf numFmtId="0" fontId="36" fillId="36" borderId="19" xfId="0" applyNumberFormat="1" applyFont="1" applyFill="1" applyBorder="1"/>
    <x:xf numFmtId="0" fontId="37" fillId="0" borderId="19" xfId="0" applyNumberFormat="1" applyFont="1" applyFill="1" applyBorder="1" applyAlignment="1">
      <x:alignment vertical="top" wrapText="1"/>
    </x:xf>
    <x:xf numFmtId="49" fontId="32" fillId="0" borderId="19" xfId="0" applyNumberFormat="1" applyFont="1" applyFill="1" applyBorder="1" applyAlignment="1">
      <x:alignment vertical="top" wrapText="1"/>
    </x:xf>
    <x:xf numFmtId="8" fontId="32" fillId="0" borderId="19" xfId="0" applyNumberFormat="1" applyFont="1" applyFill="1" applyBorder="1" applyAlignment="1">
      <x:alignment vertical="top" wrapText="1"/>
    </x:xf>
    <x:xf numFmtId="8" fontId="0" fillId="0" borderId="19" xfId="0" applyNumberFormat="1" applyFont="1" applyFill="1" applyBorder="1"/>
    <x:xf numFmtId="8" fontId="36" fillId="29" borderId="19" xfId="0" applyNumberFormat="1" applyFont="1" applyFill="1" applyBorder="1" applyAlignment="1">
      <x:alignment vertical="top" wrapText="1"/>
    </x:xf>
    <x:xf numFmtId="8" fontId="32" fillId="33" borderId="19" xfId="0" applyNumberFormat="1" applyFont="1" applyFill="1" applyBorder="1" applyAlignment="1">
      <x:alignment vertical="top" wrapText="1"/>
    </x:xf>
    <x:xf numFmtId="14" fontId="32" fillId="0" borderId="19" xfId="0" applyNumberFormat="1" applyFont="1" applyFill="1" applyBorder="1" applyAlignment="1">
      <x:alignment vertical="top" wrapText="1"/>
    </x:xf>
    <x:xf numFmtId="172" fontId="32" fillId="0" borderId="19" xfId="0" applyNumberFormat="1" applyFont="1" applyFill="1" applyBorder="1" applyAlignment="1">
      <x:alignment vertical="top" wrapText="1"/>
    </x:xf>
    <x:xf numFmtId="168" fontId="32" fillId="0" borderId="19" xfId="0" applyNumberFormat="1" applyFont="1" applyFill="1" applyBorder="1" applyAlignment="1">
      <x:alignment vertical="top" wrapText="1"/>
    </x:xf>
    <x:xf numFmtId="6" fontId="32" fillId="33" borderId="19" xfId="0" applyNumberFormat="1" applyFont="1" applyFill="1" applyBorder="1" applyAlignment="1">
      <x:alignment vertical="top" wrapText="1"/>
    </x:xf>
    <x:xf numFmtId="10" fontId="32" fillId="33" borderId="19" xfId="0" applyNumberFormat="1" applyFont="1" applyFill="1" applyBorder="1" applyAlignment="1">
      <x:alignment vertical="top" wrapText="1"/>
    </x:xf>
    <x:xf numFmtId="15" fontId="0" fillId="0" borderId="19" xfId="0" applyNumberFormat="1" applyFont="1" applyFill="1" applyBorder="1"/>
    <x:xf numFmtId="0" fontId="9" fillId="3" borderId="19" xfId="0" applyNumberFormat="1" applyFont="1" applyFill="1" applyBorder="1" applyAlignment="1">
      <x:alignment horizontal="center"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horizontal="center"/>
    </x:xf>
    <x:xf numFmtId="49" fontId="4" fillId="3" borderId="19" xfId="0" applyNumberFormat="1" applyFont="1" applyFill="1" applyBorder="1" applyAlignment="1">
      <x:alignment horizontal="left"/>
    </x:xf>
    <x:xf numFmtId="0" fontId="5" fillId="0" borderId="19" xfId="0" applyNumberFormat="1" applyFont="1" applyFill="1" applyBorder="1"/>
    <x:xf numFmtId="0" fontId="2" fillId="0" borderId="19" xfId="0" applyNumberFormat="1" applyFont="1" applyFill="1" applyBorder="1" applyAlignment="1">
      <x:alignment horizontal="center" wrapText="1"/>
    </x:xf>
    <x:xf numFmtId="0" fontId="3" fillId="5" borderId="19" xfId="0" applyNumberFormat="1" applyFont="1" applyFill="1" applyBorder="1"/>
    <x:xf numFmtId="0" fontId="0" fillId="0" borderId="19" xfId="0" applyNumberFormat="1" applyFont="1" applyFill="1" applyBorder="1" applyAlignment="1">
      <x:alignment vertical="top" wrapText="1"/>
    </x:xf>
    <x:xf numFmtId="0" fontId="21" fillId="21" borderId="27" xfId="0" applyNumberFormat="1" applyFont="1" applyFill="1" applyBorder="1" applyAlignment="1">
      <x:alignment vertical="center" wrapText="1"/>
    </x:xf>
    <x:xf numFmtId="0" fontId="30" fillId="21" borderId="28" xfId="0" applyNumberFormat="1" applyFont="1" applyFill="1" applyBorder="1" applyAlignment="1">
      <x:alignment wrapText="1"/>
    </x:xf>
    <x:xf numFmtId="0" fontId="30" fillId="21" borderId="29" xfId="0" applyNumberFormat="1" applyFont="1" applyFill="1" applyBorder="1" applyAlignment="1">
      <x:alignment wrapText="1"/>
    </x:xf>
    <x:xf numFmtId="0" fontId="26" fillId="26" borderId="21" xfId="0" applyNumberFormat="1" applyFont="1" applyFill="1" applyBorder="1" applyAlignment="1">
      <x:alignment vertical="top" wrapText="1"/>
    </x:xf>
    <x:xf numFmtId="0" fontId="16" fillId="26" borderId="19" xfId="0" applyNumberFormat="1" applyFont="1" applyFill="1" applyBorder="1" applyAlignment="1">
      <x:alignment wrapText="1"/>
    </x:xf>
    <x:xf numFmtId="0" fontId="16" fillId="26" borderId="20" xfId="0" applyNumberFormat="1" applyFont="1" applyFill="1" applyBorder="1" applyAlignment="1">
      <x:alignment wrapText="1"/>
    </x:xf>
    <x:xf numFmtId="0" fontId="16" fillId="26" borderId="21" xfId="0" applyNumberFormat="1" applyFont="1" applyFill="1" applyBorder="1" applyAlignment="1">
      <x:alignment wrapText="1"/>
    </x:xf>
    <x:xf numFmtId="0" fontId="16" fillId="26" borderId="22" xfId="0" applyNumberFormat="1" applyFont="1" applyFill="1" applyBorder="1" applyAlignment="1">
      <x:alignment wrapText="1"/>
    </x:xf>
    <x:xf numFmtId="0" fontId="16" fillId="26" borderId="23" xfId="0" applyNumberFormat="1" applyFont="1" applyFill="1" applyBorder="1" applyAlignment="1">
      <x:alignment wrapText="1"/>
    </x:xf>
    <x:xf numFmtId="0" fontId="16" fillId="26" borderId="24" xfId="0" applyNumberFormat="1" applyFont="1" applyFill="1" applyBorder="1" applyAlignment="1">
      <x:alignment wrapText="1"/>
    </x:xf>
    <x:xf numFmtId="0" fontId="24" fillId="27" borderId="27" xfId="0" applyNumberFormat="1" applyFont="1" applyFill="1" applyBorder="1" applyAlignment="1">
      <x:alignment vertical="center" wrapText="1"/>
    </x:xf>
    <x:xf numFmtId="0" fontId="25" fillId="27" borderId="28" xfId="0" applyNumberFormat="1" applyFont="1" applyFill="1" applyBorder="1" applyAlignment="1">
      <x:alignment wrapText="1"/>
    </x:xf>
    <x:xf numFmtId="0" fontId="25" fillId="27" borderId="29" xfId="0" applyNumberFormat="1" applyFont="1" applyFill="1" applyBorder="1" applyAlignment="1">
      <x:alignment wrapText="1"/>
    </x:xf>
    <x:xf numFmtId="0" fontId="17" fillId="21" borderId="30" xfId="0" applyNumberFormat="1" applyFont="1" applyFill="1" applyBorder="1" applyAlignment="1">
      <x:alignment horizontal="center" vertical="center" wrapText="1"/>
    </x:xf>
    <x:xf numFmtId="0" fontId="30" fillId="21" borderId="21" xfId="0" applyNumberFormat="1" applyFont="1" applyFill="1" applyBorder="1" applyAlignment="1">
      <x:alignment wrapText="1"/>
    </x:xf>
    <x:xf numFmtId="0" fontId="30" fillId="21" borderId="22" xfId="0" applyNumberFormat="1" applyFont="1" applyFill="1" applyBorder="1" applyAlignment="1">
      <x:alignment wrapText="1"/>
    </x:xf>
    <x:xf numFmtId="0" fontId="18" fillId="24" borderId="25" xfId="0" applyNumberFormat="1" applyFont="1" applyFill="1" applyBorder="1" applyAlignment="1">
      <x:alignment wrapText="1"/>
    </x:xf>
    <x:xf numFmtId="0" fontId="30" fillId="24" borderId="26" xfId="0" applyNumberFormat="1" applyFont="1" applyFill="1" applyBorder="1" applyAlignment="1">
      <x:alignment wrapText="1"/>
    </x:xf>
    <x:xf numFmtId="0" fontId="19" fillId="24" borderId="19" xfId="0" applyNumberFormat="1" applyFont="1" applyFill="1" applyBorder="1" applyAlignment="1">
      <x:alignment vertical="center" wrapText="1"/>
    </x:xf>
    <x:xf numFmtId="0" fontId="22" fillId="24" borderId="20" xfId="0" applyNumberFormat="1" applyFont="1" applyFill="1" applyBorder="1" applyAlignment="1">
      <x:alignment wrapText="1"/>
    </x:xf>
    <x:xf numFmtId="0" fontId="20" fillId="24" borderId="23" xfId="0" applyNumberFormat="1" applyFont="1" applyFill="1" applyBorder="1" applyAlignment="1">
      <x:alignment vertical="top" wrapText="1"/>
    </x:xf>
    <x:xf numFmtId="0" fontId="16" fillId="24" borderId="24" xfId="0" applyNumberFormat="1" applyFont="1" applyFill="1" applyBorder="1" applyAlignment="1">
      <x:alignment wrapText="1"/>
    </x:xf>
    <x:xf numFmtId="166" fontId="19" fillId="24" borderId="19" xfId="0" applyNumberFormat="1" applyFont="1" applyFill="1" applyBorder="1" applyAlignment="1">
      <x:alignment vertical="center" wrapText="1"/>
    </x:xf>
    <x:xf numFmtId="166" fontId="22" fillId="24" borderId="20" xfId="0" applyNumberFormat="1" applyFont="1" applyFill="1" applyBorder="1" applyAlignment="1">
      <x:alignment wrapText="1"/>
    </x:xf>
    <x:xf numFmtId="0" fontId="10" fillId="20" borderId="19" xfId="0" applyNumberFormat="1" applyFont="1" applyFill="1" applyBorder="1" applyAlignment="1">
      <x:alignment horizontal="center" vertical="center" wrapText="1"/>
    </x:xf>
    <x:xf numFmtId="0" fontId="11" fillId="20" borderId="31" xfId="0" applyNumberFormat="1" applyFont="1" applyFill="1" applyBorder="1" applyAlignment="1">
      <x:alignment wrapText="1"/>
    </x:xf>
    <x:xf numFmtId="0" fontId="11" fillId="20" borderId="19" xfId="0" applyNumberFormat="1" applyFont="1" applyFill="1" applyBorder="1" applyAlignment="1">
      <x:alignment wrapText="1"/>
    </x:xf>
    <x:xf numFmtId="0" fontId="12" fillId="20" borderId="19" xfId="0" applyNumberFormat="1" applyFont="1" applyFill="1" applyBorder="1" applyAlignment="1">
      <x:alignment wrapText="1"/>
    </x:xf>
    <x:xf numFmtId="0" fontId="14" fillId="20" borderId="19" xfId="0" applyNumberFormat="1" applyFont="1" applyFill="1" applyBorder="1" applyAlignment="1">
      <x:alignment vertical="top" wrapText="1"/>
    </x:xf>
    <x:xf numFmtId="0" fontId="13" fillId="20" borderId="19" xfId="0" applyNumberFormat="1" applyFont="1" applyFill="1" applyBorder="1" applyAlignment="1">
      <x:alignment horizontal="center" wrapText="1"/>
    </x:xf>
    <x:xf numFmtId="0" fontId="15" fillId="20" borderId="19" xfId="0" applyNumberFormat="1" applyFont="1" applyFill="1" applyBorder="1" applyAlignment="1">
      <x:alignment horizontal="center" vertical="top" wrapText="1"/>
    </x:xf>
    <x:xf numFmtId="0" fontId="16" fillId="21" borderId="28" xfId="0" applyNumberFormat="1" applyFont="1" applyFill="1" applyBorder="1" applyAlignment="1">
      <x:alignment wrapText="1"/>
    </x:xf>
    <x:xf numFmtId="0" fontId="16" fillId="21" borderId="29" xfId="0" applyNumberFormat="1" applyFont="1" applyFill="1" applyBorder="1" applyAlignment="1">
      <x:alignment wrapText="1"/>
    </x:xf>
    <x:xf numFmtId="0" fontId="18" fillId="23" borderId="21" xfId="0" applyNumberFormat="1" applyFont="1" applyFill="1" applyBorder="1" applyAlignment="1">
      <x:alignment horizontal="center" vertical="center" wrapText="1"/>
    </x:xf>
    <x:xf numFmtId="0" fontId="16" fillId="24" borderId="26" xfId="0" applyNumberFormat="1" applyFont="1" applyFill="1" applyBorder="1" applyAlignment="1">
      <x:alignment wrapText="1"/>
    </x:xf>
    <x:xf numFmtId="0" fontId="27" fillId="24" borderId="19" xfId="0" applyNumberFormat="1" applyFont="1" applyFill="1" applyBorder="1" applyAlignment="1">
      <x:alignment vertical="center" wrapText="1"/>
    </x:xf>
    <x:xf numFmtId="0" fontId="31" fillId="24" borderId="20" xfId="0" applyNumberFormat="1" applyFont="1" applyFill="1" applyBorder="1" applyAlignment="1">
      <x:alignment wrapText="1"/>
    </x:xf>
    <x:xf numFmtId="0" fontId="16" fillId="0" borderId="28" xfId="0" applyNumberFormat="1" applyFont="1" applyFill="1" applyBorder="1" applyAlignment="1">
      <x:alignment wrapText="1"/>
    </x:xf>
    <x:xf numFmtId="0" fontId="16" fillId="0" borderId="29" xfId="0" applyNumberFormat="1" applyFont="1" applyFill="1" applyBorder="1" applyAlignment="1">
      <x:alignment wrapText="1"/>
    </x:xf>
    <x:xf numFmtId="0" fontId="26" fillId="22" borderId="21" xfId="0" applyNumberFormat="1" applyFont="1" applyFill="1" applyBorder="1" applyAlignment="1">
      <x:alignment vertical="top" wrapText="1"/>
    </x:xf>
    <x:xf numFmtId="0" fontId="16" fillId="24" borderId="20" xfId="0" applyNumberFormat="1" applyFont="1" applyFill="1" applyBorder="1" applyAlignment="1">
      <x:alignment wrapText="1"/>
    </x:xf>
    <x:xf numFmtId="0" fontId="36" fillId="3" borderId="19" xfId="0" applyNumberFormat="1" applyFont="1" applyFill="1" applyBorder="1" applyAlignment="1">
      <x:alignment wrapText="1"/>
    </x:xf>
    <x:xf numFmtId="0" fontId="0" fillId="40" borderId="19" xfId="0" applyNumberFormat="1" applyFont="1" applyFill="1" applyBorder="1" applyAlignment="1">
      <x:alignment wrapText="1"/>
    </x:xf>
    <x:xf numFmtId="49" fontId="0" fillId="40" borderId="19" xfId="0" applyNumberFormat="1" applyFont="1" applyFill="1" applyBorder="1" applyAlignment="1">
      <x:alignment wrapText="1"/>
    </x:xf>
    <x:xf numFmtId="14" fontId="0" fillId="40" borderId="19" xfId="0" applyNumberFormat="1" applyFont="1" applyFill="1" applyBorder="1" applyAlignment="1">
      <x:alignment wrapText="1"/>
    </x:xf>
    <x:xf numFmtId="0" fontId="0" fillId="24" borderId="19" xfId="0" applyNumberFormat="1" applyFont="1" applyFill="1" applyBorder="1" applyAlignment="1">
      <x:alignment wrapText="1"/>
    </x:xf>
    <x:xf numFmtId="49" fontId="0" fillId="24" borderId="19" xfId="0" applyNumberFormat="1" applyFont="1" applyFill="1" applyBorder="1" applyAlignment="1">
      <x:alignment wrapText="1"/>
    </x:xf>
    <x:xf numFmtId="3" fontId="0" fillId="24" borderId="19" xfId="0" applyNumberFormat="1" applyFont="1" applyFill="1" applyBorder="1" applyAlignment="1">
      <x:alignment wrapText="1"/>
    </x:xf>
    <x:xf numFmtId="3" fontId="0" fillId="40" borderId="19" xfId="0" applyNumberFormat="1" applyFont="1" applyFill="1" applyBorder="1" applyAlignment="1">
      <x:alignment wrapText="1"/>
    </x:xf>
    <x:xf numFmtId="164" fontId="0" fillId="40" borderId="19" xfId="0" applyNumberFormat="1" applyFont="1" applyFill="1" applyBorder="1" applyAlignment="1">
      <x:alignment wrapText="1"/>
    </x:xf>
    <x:xf numFmtId="165" fontId="0" fillId="40" borderId="19" xfId="0" applyNumberFormat="1" applyFont="1" applyFill="1" applyBorder="1" applyAlignment="1">
      <x:alignment wrapText="1"/>
    </x:xf>
    <x:xf numFmtId="164" fontId="0" fillId="24" borderId="19" xfId="0" applyNumberFormat="1" applyFont="1" applyFill="1" applyBorder="1" applyAlignment="1">
      <x:alignment wrapText="1"/>
    </x:xf>
    <x:xf numFmtId="165" fontId="0" fillId="24" borderId="19" xfId="0" applyNumberFormat="1" applyFont="1" applyFill="1" applyBorder="1" applyAlignment="1">
      <x:alignment wrapText="1"/>
    </x:xf>
    <x:xf numFmtId="166" fontId="0" fillId="40" borderId="19" xfId="0" applyNumberFormat="1" applyFont="1" applyFill="1" applyBorder="1" applyAlignment="1">
      <x:alignment wrapText="1"/>
    </x:xf>
    <x:xf numFmtId="14" fontId="0" fillId="24" borderId="19" xfId="0" applyNumberFormat="1" applyFont="1" applyFill="1" applyBorder="1" applyAlignment="1">
      <x:alignment wrapText="1"/>
    </x:xf>
    <x:xf numFmtId="166" fontId="0" fillId="24" borderId="19" xfId="0" applyNumberFormat="1" applyFont="1" applyFill="1" applyBorder="1" applyAlignment="1">
      <x:alignment wrapText="1"/>
    </x:xf>
    <x:xf numFmtId="49" fontId="0" fillId="40" borderId="19" xfId="0" applyNumberFormat="1" applyFont="1" applyFill="1" applyBorder="1"/>
    <x:xf numFmtId="0" fontId="0" fillId="40" borderId="19" xfId="0" applyNumberFormat="1" applyFont="1" applyFill="1" applyBorder="1"/>
    <x:xf numFmtId="14" fontId="0" fillId="40" borderId="19" xfId="0" applyNumberFormat="1" applyFont="1" applyFill="1" applyBorder="1"/>
    <x:xf numFmtId="49" fontId="0" fillId="24" borderId="19" xfId="0" applyNumberFormat="1" applyFont="1" applyFill="1" applyBorder="1"/>
    <x:xf numFmtId="0" fontId="0" fillId="24" borderId="19" xfId="0" applyNumberFormat="1" applyFont="1" applyFill="1" applyBorder="1"/>
    <x:xf numFmtId="14" fontId="0" fillId="24" borderId="19" xfId="0" applyNumberFormat="1" applyFont="1" applyFill="1" applyBorder="1"/>
    <x:xf numFmtId="0" fontId="39" fillId="41" borderId="19" xfId="0" applyNumberFormat="1" applyFont="1" applyFill="1" applyBorder="1" applyAlignment="1">
      <x:alignment wrapText="1"/>
    </x:xf>
    <x:xf numFmtId="0" fontId="40" fillId="37" borderId="19" xfId="0" applyNumberFormat="1" applyFont="1" applyFill="1" applyBorder="1" applyAlignment="1">
      <x:alignment wrapText="1"/>
    </x:xf>
    <x:xf numFmtId="0" fontId="41" fillId="42" borderId="19" xfId="0" applyNumberFormat="1" applyFont="1" applyFill="1" applyBorder="1" applyAlignment="1">
      <x:alignment wrapText="1"/>
    </x:xf>
    <x:xf numFmtId="0" fontId="22" fillId="24" borderId="32" xfId="0" applyNumberFormat="1" applyFont="1" applyFill="1" applyBorder="1" applyAlignment="1">
      <x:alignment vertical="center" wrapText="1"/>
    </x:xf>
    <x:xf numFmtId="0" fontId="22" fillId="24" borderId="33" xfId="0" applyNumberFormat="1" applyFont="1" applyFill="1" applyBorder="1" applyAlignment="1">
      <x:alignment vertical="center" wrapText="1"/>
    </x:xf>
    <x:xf numFmtId="0" fontId="23" fillId="24" borderId="33" xfId="0" applyNumberFormat="1" applyFont="1" applyFill="1" applyBorder="1" applyAlignment="1">
      <x:alignment vertical="center" wrapText="1"/>
    </x:xf>
    <x:xf numFmtId="0" fontId="23" fillId="24" borderId="34" xfId="0" applyNumberFormat="1" applyFont="1" applyFill="1" applyBorder="1" applyAlignment="1">
      <x:alignment vertical="center" wrapText="1"/>
    </x:xf>
    <x:xf numFmtId="0" fontId="22" fillId="40" borderId="32" xfId="0" applyNumberFormat="1" applyFont="1" applyFill="1" applyBorder="1" applyAlignment="1">
      <x:alignment vertical="center" wrapText="1"/>
    </x:xf>
    <x:xf numFmtId="0" fontId="22" fillId="40" borderId="33" xfId="0" applyNumberFormat="1" applyFont="1" applyFill="1" applyBorder="1" applyAlignment="1">
      <x:alignment vertical="center" wrapText="1"/>
    </x:xf>
    <x:xf numFmtId="0" fontId="23" fillId="40" borderId="33" xfId="0" applyNumberFormat="1" applyFont="1" applyFill="1" applyBorder="1" applyAlignment="1">
      <x:alignment vertical="center" wrapText="1"/>
    </x:xf>
    <x:xf numFmtId="0" fontId="23" fillId="40" borderId="34" xfId="0" applyNumberFormat="1" applyFont="1" applyFill="1" applyBorder="1" applyAlignment="1">
      <x:alignment vertical="center" wrapText="1"/>
    </x:xf>
    <x:xf numFmtId="166" fontId="23" fillId="24" borderId="33" xfId="0" applyNumberFormat="1" applyFont="1" applyFill="1" applyBorder="1" applyAlignment="1">
      <x:alignment vertical="center" wrapText="1"/>
    </x:xf>
    <x:xf numFmtId="166" fontId="23" fillId="24" borderId="34" xfId="0" applyNumberFormat="1" applyFont="1" applyFill="1" applyBorder="1" applyAlignment="1">
      <x:alignment vertical="center" wrapText="1"/>
    </x:xf>
    <x:xf numFmtId="0" fontId="22" fillId="40" borderId="22" xfId="0" applyNumberFormat="1" applyFont="1" applyFill="1" applyBorder="1" applyAlignment="1">
      <x:alignment vertical="center" wrapText="1"/>
    </x:xf>
    <x:xf numFmtId="0" fontId="22" fillId="40" borderId="23" xfId="0" applyNumberFormat="1" applyFont="1" applyFill="1" applyBorder="1" applyAlignment="1">
      <x:alignment vertical="center" wrapText="1"/>
    </x:xf>
    <x:xf numFmtId="0" fontId="23" fillId="40" borderId="23" xfId="0" applyNumberFormat="1" applyFont="1" applyFill="1" applyBorder="1" applyAlignment="1">
      <x:alignment vertical="center" wrapText="1"/>
    </x:xf>
    <x:xf numFmtId="170" fontId="23" fillId="40" borderId="23" xfId="0" applyNumberFormat="1" applyFont="1" applyFill="1" applyBorder="1" applyAlignment="1">
      <x:alignment vertical="center" wrapText="1"/>
    </x:xf>
    <x:xf numFmtId="0" fontId="23" fillId="40" borderId="24" xfId="0" applyNumberFormat="1" applyFont="1" applyFill="1" applyBorder="1" applyAlignment="1">
      <x:alignment vertical="center" wrapText="1"/>
    </x:xf>
    <x:xf numFmtId="0" fontId="26" fillId="24" borderId="35" xfId="0" applyNumberFormat="1" applyFont="1" applyFill="1" applyBorder="1" applyAlignment="1">
      <x:alignment vertical="center" wrapText="1"/>
    </x:xf>
    <x:xf numFmtId="0" fontId="26" fillId="24" borderId="36" xfId="0" applyNumberFormat="1" applyFont="1" applyFill="1" applyBorder="1" applyAlignment="1">
      <x:alignment vertical="center" wrapText="1"/>
    </x:xf>
    <x:xf numFmtId="0" fontId="25" fillId="42" borderId="37" xfId="0" applyNumberFormat="1" applyFont="1" applyFill="1" applyBorder="1" applyAlignment="1">
      <x:alignment vertical="center" wrapText="1"/>
    </x:xf>
    <x:xf numFmtId="0" fontId="25" fillId="42" borderId="35" xfId="0" applyNumberFormat="1" applyFont="1" applyFill="1" applyBorder="1" applyAlignment="1">
      <x:alignment vertical="center" wrapText="1"/>
    </x:xf>
    <x:xf numFmtId="0" fontId="26" fillId="40" borderId="35" xfId="0" applyNumberFormat="1" applyFont="1" applyFill="1" applyBorder="1" applyAlignment="1">
      <x:alignment vertical="center" wrapText="1"/>
    </x:xf>
    <x:xf numFmtId="0" fontId="26" fillId="40" borderId="36" xfId="0" applyNumberFormat="1" applyFont="1" applyFill="1" applyBorder="1" applyAlignment="1">
      <x:alignment vertical="center" wrapText="1"/>
    </x:xf>
    <x:xf numFmtId="0" fontId="26" fillId="24" borderId="23" xfId="0" applyNumberFormat="1" applyFont="1" applyFill="1" applyBorder="1" applyAlignment="1">
      <x:alignment vertical="center" wrapText="1"/>
    </x:xf>
    <x:xf numFmtId="0" fontId="26" fillId="24" borderId="24" xfId="0" applyNumberFormat="1" applyFont="1" applyFill="1" applyBorder="1" applyAlignment="1">
      <x:alignment vertical="center" wrapText="1"/>
    </x:xf>
    <x:xf numFmtId="0" fontId="46" fillId="37" borderId="22" xfId="0" applyNumberFormat="1" applyFont="1" applyFill="1" applyBorder="1" applyAlignment="1">
      <x:alignment vertical="center" wrapText="1"/>
    </x:xf>
    <x:xf numFmtId="0" fontId="46" fillId="37" borderId="23" xfId="0" applyNumberFormat="1" applyFont="1" applyFill="1" applyBorder="1" applyAlignment="1">
      <x:alignment vertical="center" wrapText="1"/>
    </x:xf>
    <x:xf numFmtId="0" fontId="19" fillId="33" borderId="30" xfId="0" applyNumberFormat="1" applyFont="1" applyFill="1" applyBorder="1" applyAlignment="1">
      <x:alignment horizontal="center" vertical="center" wrapText="1"/>
    </x:xf>
    <x:xf numFmtId="0" fontId="48" fillId="33" borderId="25" xfId="0" applyNumberFormat="1" applyFont="1" applyFill="1" applyBorder="1" applyAlignment="1">
      <x:alignment wrapText="1"/>
    </x:xf>
    <x:xf numFmtId="0" fontId="23" fillId="33" borderId="26" xfId="0" applyNumberFormat="1" applyFont="1" applyFill="1" applyBorder="1" applyAlignment="1">
      <x:alignment wrapText="1"/>
    </x:xf>
    <x:xf numFmtId="0" fontId="22" fillId="33" borderId="21" xfId="0" applyNumberFormat="1" applyFont="1" applyFill="1" applyBorder="1" applyAlignment="1">
      <x:alignment wrapText="1"/>
    </x:xf>
    <x:xf numFmtId="0" fontId="19" fillId="33" borderId="19" xfId="0" applyNumberFormat="1" applyFont="1" applyFill="1" applyBorder="1" applyAlignment="1">
      <x:alignment vertical="center" wrapText="1"/>
    </x:xf>
    <x:xf numFmtId="0" fontId="22" fillId="33" borderId="20" xfId="0" applyNumberFormat="1" applyFont="1" applyFill="1" applyBorder="1" applyAlignment="1">
      <x:alignment wrapText="1"/>
    </x:xf>
    <x:xf numFmtId="0" fontId="22" fillId="33" borderId="22" xfId="0" applyNumberFormat="1" applyFont="1" applyFill="1" applyBorder="1" applyAlignment="1">
      <x:alignment wrapText="1"/>
    </x:xf>
    <x:xf numFmtId="0" fontId="29" fillId="33" borderId="23" xfId="0" applyNumberFormat="1" applyFont="1" applyFill="1" applyBorder="1" applyAlignment="1">
      <x:alignment vertical="top" wrapText="1"/>
    </x:xf>
    <x:xf numFmtId="0" fontId="23" fillId="33" borderId="24" xfId="0" applyNumberFormat="1" applyFont="1" applyFill="1" applyBorder="1" applyAlignment="1">
      <x:alignment wrapText="1"/>
    </x:xf>
    <x:xf numFmtId="0" fontId="50" fillId="43" borderId="27" xfId="0" applyNumberFormat="1" applyFont="1" applyFill="1" applyBorder="1" applyAlignment="1">
      <x:alignment vertical="center" wrapText="1"/>
    </x:xf>
    <x:xf numFmtId="0" fontId="51" fillId="43" borderId="28" xfId="0" applyNumberFormat="1" applyFont="1" applyFill="1" applyBorder="1" applyAlignment="1">
      <x:alignment wrapText="1"/>
    </x:xf>
    <x:xf numFmtId="0" fontId="51" fillId="43" borderId="29" xfId="0" applyNumberFormat="1" applyFont="1" applyFill="1" applyBorder="1" applyAlignment="1">
      <x:alignment wrapText="1"/>
    </x:xf>
    <x:xf numFmtId="0" fontId="52" fillId="33" borderId="21" xfId="0" applyNumberFormat="1" applyFont="1" applyFill="1" applyBorder="1" applyAlignment="1">
      <x:alignment vertical="center" wrapText="1"/>
    </x:xf>
    <x:xf numFmtId="0" fontId="23" fillId="33" borderId="19" xfId="0" applyNumberFormat="1" applyFont="1" applyFill="1" applyBorder="1" applyAlignment="1">
      <x:alignment wrapText="1"/>
    </x:xf>
    <x:xf numFmtId="0" fontId="23" fillId="33" borderId="20" xfId="0" applyNumberFormat="1" applyFont="1" applyFill="1" applyBorder="1" applyAlignment="1">
      <x:alignment wrapText="1"/>
    </x:xf>
    <x:xf numFmtId="0" fontId="23" fillId="33" borderId="22" xfId="0" applyNumberFormat="1" applyFont="1" applyFill="1" applyBorder="1" applyAlignment="1">
      <x:alignment wrapText="1"/>
    </x:xf>
    <x:xf numFmtId="0" fontId="23" fillId="33" borderId="23" xfId="0" applyNumberFormat="1" applyFont="1" applyFill="1" applyBorder="1" applyAlignment="1">
      <x:alignment wrapText="1"/>
    </x:xf>
    <x:xf numFmtId="0" fontId="26" fillId="24" borderId="33" xfId="0" applyNumberFormat="1" applyFont="1" applyFill="1" applyBorder="1" applyAlignment="1">
      <x:alignment vertical="center" wrapText="1"/>
    </x:xf>
    <x:xf numFmtId="171" fontId="26" fillId="24" borderId="33" xfId="0" applyNumberFormat="1" applyFont="1" applyFill="1" applyBorder="1" applyAlignment="1">
      <x:alignment vertical="center" wrapText="1"/>
    </x:xf>
    <x:xf numFmtId="0" fontId="26" fillId="24" borderId="34" xfId="0" applyNumberFormat="1" applyFont="1" applyFill="1" applyBorder="1" applyAlignment="1">
      <x:alignment vertical="center" wrapText="1"/>
    </x:xf>
    <x:xf numFmtId="0" fontId="26" fillId="24" borderId="32" xfId="0" applyNumberFormat="1" applyFont="1" applyFill="1" applyBorder="1" applyAlignment="1">
      <x:alignment vertical="center" wrapText="1"/>
    </x:xf>
    <x:xf numFmtId="0" fontId="53" fillId="41" borderId="33" xfId="0" applyNumberFormat="1" applyFont="1" applyFill="1" applyBorder="1" applyAlignment="1">
      <x:alignment vertical="center" wrapText="1"/>
    </x:xf>
    <x:xf numFmtId="0" fontId="26" fillId="40" borderId="33" xfId="0" applyNumberFormat="1" applyFont="1" applyFill="1" applyBorder="1" applyAlignment="1">
      <x:alignment vertical="center" wrapText="1"/>
    </x:xf>
    <x:xf numFmtId="171" fontId="26" fillId="40" borderId="33" xfId="0" applyNumberFormat="1" applyFont="1" applyFill="1" applyBorder="1" applyAlignment="1">
      <x:alignment vertical="center" wrapText="1"/>
    </x:xf>
    <x:xf numFmtId="0" fontId="26" fillId="40" borderId="34" xfId="0" applyNumberFormat="1" applyFont="1" applyFill="1" applyBorder="1" applyAlignment="1">
      <x:alignment vertical="center" wrapText="1"/>
    </x:xf>
    <x:xf numFmtId="0" fontId="26" fillId="40" borderId="32" xfId="0" applyNumberFormat="1" applyFont="1" applyFill="1" applyBorder="1" applyAlignment="1">
      <x:alignment vertical="center" wrapText="1"/>
    </x:xf>
    <x:xf numFmtId="0" fontId="54" fillId="39" borderId="33" xfId="0" applyNumberFormat="1" applyFont="1" applyFill="1" applyBorder="1" applyAlignment="1">
      <x:alignment vertical="center" wrapText="1"/>
    </x:xf>
    <x:xf numFmtId="171" fontId="53" fillId="40" borderId="33" xfId="0" applyNumberFormat="1" applyFont="1" applyFill="1" applyBorder="1" applyAlignment="1">
      <x:alignment vertical="center" wrapText="1"/>
    </x:xf>
    <x:xf numFmtId="171" fontId="53" fillId="24" borderId="33" xfId="0" applyNumberFormat="1" applyFont="1" applyFill="1" applyBorder="1" applyAlignment="1">
      <x:alignment vertical="center" wrapText="1"/>
    </x:xf>
    <x:xf numFmtId="0" fontId="26" fillId="40" borderId="22" xfId="0" applyNumberFormat="1" applyFont="1" applyFill="1" applyBorder="1" applyAlignment="1">
      <x:alignment vertical="center" wrapText="1"/>
    </x:xf>
    <x:xf numFmtId="0" fontId="26" fillId="40" borderId="23" xfId="0" applyNumberFormat="1" applyFont="1" applyFill="1" applyBorder="1" applyAlignment="1">
      <x:alignment vertical="center" wrapText="1"/>
    </x:xf>
    <x:xf numFmtId="171" fontId="26" fillId="40" borderId="23" xfId="0" applyNumberFormat="1" applyFont="1" applyFill="1" applyBorder="1" applyAlignment="1">
      <x:alignment vertical="center" wrapText="1"/>
    </x:xf>
    <x:xf numFmtId="0" fontId="26" fillId="40" borderId="24" xfId="0" applyNumberFormat="1" applyFont="1" applyFill="1" applyBorder="1" applyAlignment="1">
      <x:alignment vertical="center" wrapText="1"/>
    </x:xf>
    <x:xf numFmtId="0" fontId="29" fillId="24" borderId="32" xfId="0" applyNumberFormat="1" applyFont="1" applyFill="1" applyBorder="1" applyAlignment="1">
      <x:alignment horizontal="center" vertical="center" wrapText="1"/>
    </x:xf>
    <x:xf numFmtId="0" fontId="29" fillId="24" borderId="33" xfId="0" applyNumberFormat="1" applyFont="1" applyFill="1" applyBorder="1" applyAlignment="1">
      <x:alignment horizontal="center" vertical="center" wrapText="1"/>
    </x:xf>
    <x:xf numFmtId="0" fontId="55" fillId="41" borderId="33" xfId="0" applyNumberFormat="1" applyFont="1" applyFill="1" applyBorder="1" applyAlignment="1">
      <x:alignment horizontal="center" vertical="center" wrapText="1"/>
    </x:xf>
    <x:xf numFmtId="0" fontId="29" fillId="40" borderId="32" xfId="0" applyNumberFormat="1" applyFont="1" applyFill="1" applyBorder="1" applyAlignment="1">
      <x:alignment horizontal="center" vertical="center" wrapText="1"/>
    </x:xf>
    <x:xf numFmtId="0" fontId="29" fillId="40" borderId="33" xfId="0" applyNumberFormat="1" applyFont="1" applyFill="1" applyBorder="1" applyAlignment="1">
      <x:alignment horizontal="center" vertical="center" wrapText="1"/>
    </x:xf>
    <x:xf numFmtId="0" fontId="56" fillId="37" borderId="33" xfId="0" applyNumberFormat="1" applyFont="1" applyFill="1" applyBorder="1" applyAlignment="1">
      <x:alignment horizontal="center" vertical="center" wrapText="1"/>
    </x:xf>
    <x:xf numFmtId="0" fontId="29" fillId="24" borderId="21" xfId="0" applyNumberFormat="1" applyFont="1" applyFill="1" applyBorder="1" applyAlignment="1">
      <x:alignment horizontal="center" vertical="center" wrapText="1"/>
    </x:xf>
    <x:xf numFmtId="0" fontId="29" fillId="24" borderId="19" xfId="0" applyNumberFormat="1" applyFont="1" applyFill="1" applyBorder="1" applyAlignment="1">
      <x:alignment horizontal="center" vertical="center" wrapText="1"/>
    </x:xf>
    <x:xf numFmtId="0" fontId="29" fillId="24" borderId="20" xfId="0" applyNumberFormat="1" applyFont="1" applyFill="1" applyBorder="1" applyAlignment="1">
      <x:alignment horizontal="center" vertical="center" wrapText="1"/>
    </x:xf>
    <x:xf numFmtId="0" fontId="29" fillId="40" borderId="21" xfId="0" applyNumberFormat="1" applyFont="1" applyFill="1" applyBorder="1" applyAlignment="1">
      <x:alignment horizontal="center" vertical="center" wrapText="1"/>
    </x:xf>
    <x:xf numFmtId="0" fontId="29" fillId="40" borderId="19" xfId="0" applyNumberFormat="1" applyFont="1" applyFill="1" applyBorder="1" applyAlignment="1">
      <x:alignment horizontal="center" vertical="center" wrapText="1"/>
    </x:xf>
    <x:xf numFmtId="0" fontId="29" fillId="40" borderId="20" xfId="0" applyNumberFormat="1" applyFont="1" applyFill="1" applyBorder="1" applyAlignment="1">
      <x:alignment horizontal="center" vertical="center" wrapText="1"/>
    </x:xf>
    <x:xf numFmtId="0" fontId="29" fillId="40" borderId="22" xfId="0" applyNumberFormat="1" applyFont="1" applyFill="1" applyBorder="1" applyAlignment="1">
      <x:alignment horizontal="center" vertical="center" wrapText="1"/>
    </x:xf>
    <x:xf numFmtId="0" fontId="29" fillId="40" borderId="23" xfId="0" applyNumberFormat="1" applyFont="1" applyFill="1" applyBorder="1" applyAlignment="1">
      <x:alignment horizontal="center" vertical="center" wrapText="1"/>
    </x:xf>
    <x:xf numFmtId="0" fontId="29" fillId="40" borderId="24" xfId="0" applyNumberFormat="1" applyFont="1" applyFill="1" applyBorder="1" applyAlignment="1">
      <x:alignment horizontal="center" vertical="center" wrapText="1"/>
    </x:xf>
    <x:xf numFmtId="0" fontId="18" fillId="33" borderId="21" xfId="0" applyNumberFormat="1" applyFont="1" applyFill="1" applyBorder="1" applyAlignment="1">
      <x:alignment horizontal="center" vertical="center" wrapText="1"/>
    </x:xf>
    <x:xf numFmtId="0" fontId="26" fillId="33" borderId="19" xfId="0" applyNumberFormat="1" applyFont="1" applyFill="1" applyBorder="1" applyAlignment="1">
      <x:alignment horizontal="center" vertical="center" wrapText="1"/>
    </x:xf>
    <x:xf numFmtId="0" fontId="18" fillId="33" borderId="32" xfId="0" applyNumberFormat="1" applyFont="1" applyFill="1" applyBorder="1" applyAlignment="1">
      <x:alignment horizontal="center" vertical="center" wrapText="1"/>
    </x:xf>
    <x:xf numFmtId="169" fontId="26" fillId="33" borderId="3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200" fontId="0" fillId="44" borderId="0" xfId="0" applyNumberFormat="1" applyFont="1" applyFill="1" applyBorder="1" applyAlignment="1">
      <x:alignment wrapText="1"/>
    </x:xf>
    <x:xf numFmtId="200" fontId="0" fillId="44" borderId="19" xfId="0" applyNumberFormat="1" applyFont="1" applyFill="1" applyBorder="1" applyAlignment="1">
      <x:alignment wrapText="1"/>
    </x:xf>
    <x:xf numFmtId="0" fontId="6" fillId="0" borderId="38" xfId="0" applyNumberFormat="1" applyFont="1" applyFill="1" applyBorder="1" applyAlignment="1">
      <x:alignment wrapText="1"/>
    </x:xf>
    <x:xf numFmtId="0" fontId="0" fillId="44" borderId="38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6" fillId="0" borderId="39" xfId="0" applyNumberFormat="1" applyFont="1" applyFill="1" applyBorder="1" applyAlignment="1">
      <x:alignment wrapText="1"/>
    </x:xf>
    <x:xf numFmtId="0" fontId="0" fillId="44" borderId="39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57" fillId="45" borderId="0" xfId="0" applyNumberFormat="1" applyFont="1" applyFill="1" applyBorder="1"/>
    <x:xf numFmtId="0" fontId="57" fillId="45" borderId="0" xfId="0" applyNumberFormat="1" applyFont="1" applyFill="1" applyBorder="1" applyAlignment="1">
      <x:alignment vertical="center"/>
    </x:xf>
    <x:xf numFmtId="0" fontId="0" fillId="45" borderId="19" xfId="0" applyNumberFormat="1" applyFont="1" applyFill="1" applyBorder="1"/>
    <x:xf numFmtId="0" fontId="57" fillId="45" borderId="19" xfId="0" applyNumberFormat="1" applyFont="1" applyFill="1" applyBorder="1"/>
    <x:xf numFmtId="0" fontId="57" fillId="45" borderId="1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9" xfId="0" applyNumberFormat="1" applyFont="1" applyFill="1" applyBorder="1"/>
    <x:xf numFmtId="202" fontId="0" fillId="0" borderId="0" xfId="0" applyNumberFormat="1" applyFont="1" applyFill="1" applyBorder="1"/>
    <x:xf numFmtId="202" fontId="0" fillId="0" borderId="19" xfId="0" applyNumberFormat="1" applyFont="1" applyFill="1" applyBorder="1"/>
    <x:xf numFmtId="165" fontId="0" fillId="0" borderId="0" xfId="0" applyNumberFormat="1" applyFont="1" applyFill="1" applyBorder="1"/>
    <x:xf numFmtId="165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0" fillId="0" borderId="19" xfId="0" applyNumberFormat="1" applyFont="1" applyFill="1" applyBorder="1"/>
    <x:xf numFmtId="203" fontId="0" fillId="0" borderId="0" xfId="0" applyNumberFormat="1" applyFont="1" applyFill="1" applyBorder="1"/>
    <x:xf numFmtId="203" fontId="0" fillId="0" borderId="19" xfId="0" applyNumberFormat="1" applyFont="1" applyFill="1" applyBorder="1"/>
    <x:xf numFmtId="0" fontId="0" fillId="46" borderId="0" xfId="0" applyNumberFormat="1" applyFont="1" applyFill="1" applyBorder="1"/>
    <x:xf numFmtId="201" fontId="0" fillId="46" borderId="0" xfId="0" applyNumberFormat="1" applyFont="1" applyFill="1" applyBorder="1"/>
    <x:xf numFmtId="202" fontId="0" fillId="46" borderId="0" xfId="0" applyNumberFormat="1" applyFont="1" applyFill="1" applyBorder="1"/>
    <x:xf numFmtId="0" fontId="58" fillId="46" borderId="0" xfId="0" applyNumberFormat="1" applyFont="1" applyFill="1" applyBorder="1"/>
    <x:xf numFmtId="201" fontId="58" fillId="46" borderId="0" xfId="0" applyNumberFormat="1" applyFont="1" applyFill="1" applyBorder="1"/>
    <x:xf numFmtId="202" fontId="58" fillId="46" borderId="0" xfId="0" applyNumberFormat="1" applyFont="1" applyFill="1" applyBorder="1"/>
    <x:xf numFmtId="0" fontId="58" fillId="46" borderId="38" xfId="0" applyNumberFormat="1" applyFont="1" applyFill="1" applyBorder="1"/>
    <x:xf numFmtId="201" fontId="58" fillId="46" borderId="38" xfId="0" applyNumberFormat="1" applyFont="1" applyFill="1" applyBorder="1"/>
    <x:xf numFmtId="202" fontId="58" fillId="46" borderId="38" xfId="0" applyNumberFormat="1" applyFont="1" applyFill="1" applyBorder="1"/>
    <x:xf numFmtId="0" fontId="58" fillId="46" borderId="38" xfId="0" applyNumberFormat="1" applyFont="1" applyFill="1" applyBorder="1" applyAlignment="1">
      <x:alignment wrapText="1"/>
    </x:xf>
    <x:xf numFmtId="201" fontId="58" fillId="46" borderId="38" xfId="0" applyNumberFormat="1" applyFont="1" applyFill="1" applyBorder="1" applyAlignment="1">
      <x:alignment wrapText="1"/>
    </x:xf>
    <x:xf numFmtId="202" fontId="58" fillId="46" borderId="38" xfId="0" applyNumberFormat="1" applyFont="1" applyFill="1" applyBorder="1" applyAlignment="1">
      <x:alignment wrapText="1"/>
    </x:xf>
    <x:xf numFmtId="0" fontId="58" fillId="46" borderId="38" xfId="0" applyNumberFormat="1" applyFont="1" applyFill="1" applyBorder="1" applyAlignment="1">
      <x:alignment vertical="center" wrapText="1"/>
    </x:xf>
    <x:xf numFmtId="201" fontId="58" fillId="46" borderId="38" xfId="0" applyNumberFormat="1" applyFont="1" applyFill="1" applyBorder="1" applyAlignment="1">
      <x:alignment vertical="center" wrapText="1"/>
    </x:xf>
    <x:xf numFmtId="202" fontId="58" fillId="46" borderId="38" xfId="0" applyNumberFormat="1" applyFont="1" applyFill="1" applyBorder="1" applyAlignment="1">
      <x:alignment vertical="center" wrapText="1"/>
    </x:xf>
    <x:xf numFmtId="0" fontId="0" fillId="46" borderId="19" xfId="0" applyNumberFormat="1" applyFont="1" applyFill="1" applyBorder="1"/>
    <x:xf numFmtId="201" fontId="0" fillId="46" borderId="19" xfId="0" applyNumberFormat="1" applyFont="1" applyFill="1" applyBorder="1"/>
    <x:xf numFmtId="202" fontId="0" fillId="46" borderId="19" xfId="0" applyNumberFormat="1" applyFont="1" applyFill="1" applyBorder="1"/>
    <x:xf numFmtId="0" fontId="58" fillId="46" borderId="19" xfId="0" applyNumberFormat="1" applyFont="1" applyFill="1" applyBorder="1"/>
    <x:xf numFmtId="201" fontId="58" fillId="46" borderId="19" xfId="0" applyNumberFormat="1" applyFont="1" applyFill="1" applyBorder="1"/>
    <x:xf numFmtId="202" fontId="58" fillId="46" borderId="19" xfId="0" applyNumberFormat="1" applyFont="1" applyFill="1" applyBorder="1"/>
    <x:xf numFmtId="0" fontId="58" fillId="46" borderId="39" xfId="0" applyNumberFormat="1" applyFont="1" applyFill="1" applyBorder="1"/>
    <x:xf numFmtId="201" fontId="58" fillId="46" borderId="39" xfId="0" applyNumberFormat="1" applyFont="1" applyFill="1" applyBorder="1"/>
    <x:xf numFmtId="202" fontId="58" fillId="46" borderId="39" xfId="0" applyNumberFormat="1" applyFont="1" applyFill="1" applyBorder="1"/>
    <x:xf numFmtId="0" fontId="58" fillId="46" borderId="39" xfId="0" applyNumberFormat="1" applyFont="1" applyFill="1" applyBorder="1" applyAlignment="1">
      <x:alignment wrapText="1"/>
    </x:xf>
    <x:xf numFmtId="201" fontId="58" fillId="46" borderId="39" xfId="0" applyNumberFormat="1" applyFont="1" applyFill="1" applyBorder="1" applyAlignment="1">
      <x:alignment wrapText="1"/>
    </x:xf>
    <x:xf numFmtId="202" fontId="58" fillId="46" borderId="39" xfId="0" applyNumberFormat="1" applyFont="1" applyFill="1" applyBorder="1" applyAlignment="1">
      <x:alignment wrapText="1"/>
    </x:xf>
    <x:xf numFmtId="0" fontId="58" fillId="46" borderId="39" xfId="0" applyNumberFormat="1" applyFont="1" applyFill="1" applyBorder="1" applyAlignment="1">
      <x:alignment vertical="center" wrapText="1"/>
    </x:xf>
    <x:xf numFmtId="201" fontId="58" fillId="46" borderId="39" xfId="0" applyNumberFormat="1" applyFont="1" applyFill="1" applyBorder="1" applyAlignment="1">
      <x:alignment vertical="center" wrapText="1"/>
    </x:xf>
    <x:xf numFmtId="202" fontId="58" fillId="46" borderId="39" xfId="0" applyNumberFormat="1" applyFont="1" applyFill="1" applyBorder="1" applyAlignment="1">
      <x:alignment vertical="center" wrapText="1"/>
    </x:xf>
    <x:xf numFmtId="0" fontId="6" fillId="46" borderId="38" xfId="0" applyNumberFormat="1" applyFont="1" applyFill="1" applyBorder="1" applyAlignment="1">
      <x:alignment vertical="center" wrapText="1"/>
    </x:xf>
    <x:xf numFmtId="0" fontId="6" fillId="46" borderId="39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165" fontId="0" fillId="47" borderId="0" xfId="0" applyNumberFormat="1" applyFont="1" applyFill="1" applyBorder="1"/>
    <x:xf numFmtId="200" fontId="0" fillId="47" borderId="0" xfId="0" applyNumberFormat="1" applyFont="1" applyFill="1" applyBorder="1"/>
    <x:xf numFmtId="201" fontId="0" fillId="47" borderId="0" xfId="0" applyNumberFormat="1" applyFont="1" applyFill="1" applyBorder="1"/>
    <x:xf numFmtId="0" fontId="58" fillId="47" borderId="0" xfId="0" applyNumberFormat="1" applyFont="1" applyFill="1" applyBorder="1"/>
    <x:xf numFmtId="165" fontId="58" fillId="47" borderId="0" xfId="0" applyNumberFormat="1" applyFont="1" applyFill="1" applyBorder="1"/>
    <x:xf numFmtId="200" fontId="58" fillId="47" borderId="0" xfId="0" applyNumberFormat="1" applyFont="1" applyFill="1" applyBorder="1"/>
    <x:xf numFmtId="201" fontId="58" fillId="47" borderId="0" xfId="0" applyNumberFormat="1" applyFont="1" applyFill="1" applyBorder="1"/>
    <x:xf numFmtId="0" fontId="58" fillId="47" borderId="38" xfId="0" applyNumberFormat="1" applyFont="1" applyFill="1" applyBorder="1"/>
    <x:xf numFmtId="165" fontId="58" fillId="47" borderId="38" xfId="0" applyNumberFormat="1" applyFont="1" applyFill="1" applyBorder="1"/>
    <x:xf numFmtId="200" fontId="58" fillId="47" borderId="38" xfId="0" applyNumberFormat="1" applyFont="1" applyFill="1" applyBorder="1"/>
    <x:xf numFmtId="201" fontId="58" fillId="47" borderId="38" xfId="0" applyNumberFormat="1" applyFont="1" applyFill="1" applyBorder="1"/>
    <x:xf numFmtId="0" fontId="58" fillId="47" borderId="38" xfId="0" applyNumberFormat="1" applyFont="1" applyFill="1" applyBorder="1" applyAlignment="1">
      <x:alignment wrapText="1"/>
    </x:xf>
    <x:xf numFmtId="165" fontId="58" fillId="47" borderId="38" xfId="0" applyNumberFormat="1" applyFont="1" applyFill="1" applyBorder="1" applyAlignment="1">
      <x:alignment wrapText="1"/>
    </x:xf>
    <x:xf numFmtId="200" fontId="58" fillId="47" borderId="38" xfId="0" applyNumberFormat="1" applyFont="1" applyFill="1" applyBorder="1" applyAlignment="1">
      <x:alignment wrapText="1"/>
    </x:xf>
    <x:xf numFmtId="201" fontId="58" fillId="47" borderId="38" xfId="0" applyNumberFormat="1" applyFont="1" applyFill="1" applyBorder="1" applyAlignment="1">
      <x:alignment wrapText="1"/>
    </x:xf>
    <x:xf numFmtId="0" fontId="58" fillId="47" borderId="38" xfId="0" applyNumberFormat="1" applyFont="1" applyFill="1" applyBorder="1" applyAlignment="1">
      <x:alignment vertical="center" wrapText="1"/>
    </x:xf>
    <x:xf numFmtId="165" fontId="58" fillId="47" borderId="38" xfId="0" applyNumberFormat="1" applyFont="1" applyFill="1" applyBorder="1" applyAlignment="1">
      <x:alignment vertical="center" wrapText="1"/>
    </x:xf>
    <x:xf numFmtId="200" fontId="58" fillId="47" borderId="38" xfId="0" applyNumberFormat="1" applyFont="1" applyFill="1" applyBorder="1" applyAlignment="1">
      <x:alignment vertical="center" wrapText="1"/>
    </x:xf>
    <x:xf numFmtId="201" fontId="58" fillId="47" borderId="38" xfId="0" applyNumberFormat="1" applyFont="1" applyFill="1" applyBorder="1" applyAlignment="1">
      <x:alignment vertical="center" wrapText="1"/>
    </x:xf>
    <x:xf numFmtId="0" fontId="0" fillId="47" borderId="19" xfId="0" applyNumberFormat="1" applyFont="1" applyFill="1" applyBorder="1"/>
    <x:xf numFmtId="165" fontId="0" fillId="47" borderId="19" xfId="0" applyNumberFormat="1" applyFont="1" applyFill="1" applyBorder="1"/>
    <x:xf numFmtId="200" fontId="0" fillId="47" borderId="19" xfId="0" applyNumberFormat="1" applyFont="1" applyFill="1" applyBorder="1"/>
    <x:xf numFmtId="201" fontId="0" fillId="47" borderId="19" xfId="0" applyNumberFormat="1" applyFont="1" applyFill="1" applyBorder="1"/>
    <x:xf numFmtId="0" fontId="58" fillId="47" borderId="19" xfId="0" applyNumberFormat="1" applyFont="1" applyFill="1" applyBorder="1"/>
    <x:xf numFmtId="165" fontId="58" fillId="47" borderId="19" xfId="0" applyNumberFormat="1" applyFont="1" applyFill="1" applyBorder="1"/>
    <x:xf numFmtId="200" fontId="58" fillId="47" borderId="19" xfId="0" applyNumberFormat="1" applyFont="1" applyFill="1" applyBorder="1"/>
    <x:xf numFmtId="201" fontId="58" fillId="47" borderId="19" xfId="0" applyNumberFormat="1" applyFont="1" applyFill="1" applyBorder="1"/>
    <x:xf numFmtId="0" fontId="58" fillId="47" borderId="39" xfId="0" applyNumberFormat="1" applyFont="1" applyFill="1" applyBorder="1"/>
    <x:xf numFmtId="165" fontId="58" fillId="47" borderId="39" xfId="0" applyNumberFormat="1" applyFont="1" applyFill="1" applyBorder="1"/>
    <x:xf numFmtId="200" fontId="58" fillId="47" borderId="39" xfId="0" applyNumberFormat="1" applyFont="1" applyFill="1" applyBorder="1"/>
    <x:xf numFmtId="201" fontId="58" fillId="47" borderId="39" xfId="0" applyNumberFormat="1" applyFont="1" applyFill="1" applyBorder="1"/>
    <x:xf numFmtId="0" fontId="58" fillId="47" borderId="39" xfId="0" applyNumberFormat="1" applyFont="1" applyFill="1" applyBorder="1" applyAlignment="1">
      <x:alignment wrapText="1"/>
    </x:xf>
    <x:xf numFmtId="165" fontId="58" fillId="47" borderId="39" xfId="0" applyNumberFormat="1" applyFont="1" applyFill="1" applyBorder="1" applyAlignment="1">
      <x:alignment wrapText="1"/>
    </x:xf>
    <x:xf numFmtId="200" fontId="58" fillId="47" borderId="39" xfId="0" applyNumberFormat="1" applyFont="1" applyFill="1" applyBorder="1" applyAlignment="1">
      <x:alignment wrapText="1"/>
    </x:xf>
    <x:xf numFmtId="201" fontId="58" fillId="47" borderId="39" xfId="0" applyNumberFormat="1" applyFont="1" applyFill="1" applyBorder="1" applyAlignment="1">
      <x:alignment wrapText="1"/>
    </x:xf>
    <x:xf numFmtId="0" fontId="58" fillId="47" borderId="39" xfId="0" applyNumberFormat="1" applyFont="1" applyFill="1" applyBorder="1" applyAlignment="1">
      <x:alignment vertical="center" wrapText="1"/>
    </x:xf>
    <x:xf numFmtId="165" fontId="58" fillId="47" borderId="39" xfId="0" applyNumberFormat="1" applyFont="1" applyFill="1" applyBorder="1" applyAlignment="1">
      <x:alignment vertical="center" wrapText="1"/>
    </x:xf>
    <x:xf numFmtId="200" fontId="58" fillId="47" borderId="39" xfId="0" applyNumberFormat="1" applyFont="1" applyFill="1" applyBorder="1" applyAlignment="1">
      <x:alignment vertical="center" wrapText="1"/>
    </x:xf>
    <x:xf numFmtId="201" fontId="58" fillId="47" borderId="39" xfId="0" applyNumberFormat="1" applyFont="1" applyFill="1" applyBorder="1" applyAlignment="1">
      <x:alignment vertical="center" wrapText="1"/>
    </x:xf>
    <x:xf numFmtId="0" fontId="6" fillId="47" borderId="38" xfId="0" applyNumberFormat="1" applyFont="1" applyFill="1" applyBorder="1" applyAlignment="1">
      <x:alignment vertical="center" wrapText="1"/>
    </x:xf>
    <x:xf numFmtId="0" fontId="6" fillId="47" borderId="39" xfId="0" applyNumberFormat="1" applyFont="1" applyFill="1" applyBorder="1" applyAlignment="1">
      <x:alignment vertical="center" wrapText="1"/>
    </x:xf>
    <x:xf numFmtId="203" fontId="0" fillId="46" borderId="0" xfId="0" applyNumberFormat="1" applyFont="1" applyFill="1" applyBorder="1"/>
    <x:xf numFmtId="203" fontId="58" fillId="46" borderId="0" xfId="0" applyNumberFormat="1" applyFont="1" applyFill="1" applyBorder="1"/>
    <x:xf numFmtId="203" fontId="58" fillId="46" borderId="38" xfId="0" applyNumberFormat="1" applyFont="1" applyFill="1" applyBorder="1"/>
    <x:xf numFmtId="203" fontId="58" fillId="46" borderId="38" xfId="0" applyNumberFormat="1" applyFont="1" applyFill="1" applyBorder="1" applyAlignment="1">
      <x:alignment wrapText="1"/>
    </x:xf>
    <x:xf numFmtId="203" fontId="58" fillId="46" borderId="38" xfId="0" applyNumberFormat="1" applyFont="1" applyFill="1" applyBorder="1" applyAlignment="1">
      <x:alignment vertical="center" wrapText="1"/>
    </x:xf>
    <x:xf numFmtId="203" fontId="0" fillId="46" borderId="19" xfId="0" applyNumberFormat="1" applyFont="1" applyFill="1" applyBorder="1"/>
    <x:xf numFmtId="203" fontId="58" fillId="46" borderId="19" xfId="0" applyNumberFormat="1" applyFont="1" applyFill="1" applyBorder="1"/>
    <x:xf numFmtId="203" fontId="58" fillId="46" borderId="39" xfId="0" applyNumberFormat="1" applyFont="1" applyFill="1" applyBorder="1"/>
    <x:xf numFmtId="203" fontId="58" fillId="46" borderId="39" xfId="0" applyNumberFormat="1" applyFont="1" applyFill="1" applyBorder="1" applyAlignment="1">
      <x:alignment wrapText="1"/>
    </x:xf>
    <x:xf numFmtId="203" fontId="58" fillId="46" borderId="39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59" fillId="44" borderId="0" xfId="0" applyNumberFormat="1" applyFont="1" applyFill="1" applyBorder="1"/>
    <x:xf numFmtId="0" fontId="59" fillId="44" borderId="40" xfId="0" applyNumberFormat="1" applyFont="1" applyFill="1" applyBorder="1"/>
    <x:xf numFmtId="0" fontId="59" fillId="44" borderId="41" xfId="0" applyNumberFormat="1" applyFont="1" applyFill="1" applyBorder="1"/>
    <x:xf numFmtId="0" fontId="59" fillId="44" borderId="42" xfId="0" applyNumberFormat="1" applyFont="1" applyFill="1" applyBorder="1"/>
    <x:xf numFmtId="0" fontId="59" fillId="44" borderId="43" xfId="0" applyNumberFormat="1" applyFont="1" applyFill="1" applyBorder="1"/>
    <x:xf numFmtId="0" fontId="59" fillId="44" borderId="44" xfId="0" applyNumberFormat="1" applyFont="1" applyFill="1" applyBorder="1"/>
    <x:xf numFmtId="0" fontId="59" fillId="44" borderId="45" xfId="0" applyNumberFormat="1" applyFont="1" applyFill="1" applyBorder="1"/>
    <x:xf numFmtId="0" fontId="59" fillId="44" borderId="40" xfId="0" applyNumberFormat="1" applyFont="1" applyFill="1" applyBorder="1" applyAlignment="1">
      <x:alignment wrapText="1"/>
    </x:xf>
    <x:xf numFmtId="0" fontId="59" fillId="44" borderId="41" xfId="0" applyNumberFormat="1" applyFont="1" applyFill="1" applyBorder="1" applyAlignment="1">
      <x:alignment wrapText="1"/>
    </x:xf>
    <x:xf numFmtId="0" fontId="59" fillId="44" borderId="42" xfId="0" applyNumberFormat="1" applyFont="1" applyFill="1" applyBorder="1" applyAlignment="1">
      <x:alignment wrapText="1"/>
    </x:xf>
    <x:xf numFmtId="0" fontId="59" fillId="44" borderId="43" xfId="0" applyNumberFormat="1" applyFont="1" applyFill="1" applyBorder="1" applyAlignment="1">
      <x:alignment wrapText="1"/>
    </x:xf>
    <x:xf numFmtId="0" fontId="59" fillId="44" borderId="44" xfId="0" applyNumberFormat="1" applyFont="1" applyFill="1" applyBorder="1" applyAlignment="1">
      <x:alignment wrapText="1"/>
    </x:xf>
    <x:xf numFmtId="0" fontId="59" fillId="44" borderId="45" xfId="0" applyNumberFormat="1" applyFont="1" applyFill="1" applyBorder="1" applyAlignment="1">
      <x:alignment wrapText="1"/>
    </x:xf>
    <x:xf numFmtId="0" fontId="59" fillId="44" borderId="40" xfId="0" applyNumberFormat="1" applyFont="1" applyFill="1" applyBorder="1" applyAlignment="1">
      <x:alignment vertical="center" wrapText="1"/>
    </x:xf>
    <x:xf numFmtId="0" fontId="59" fillId="44" borderId="41" xfId="0" applyNumberFormat="1" applyFont="1" applyFill="1" applyBorder="1" applyAlignment="1">
      <x:alignment vertical="center" wrapText="1"/>
    </x:xf>
    <x:xf numFmtId="0" fontId="59" fillId="44" borderId="42" xfId="0" applyNumberFormat="1" applyFont="1" applyFill="1" applyBorder="1" applyAlignment="1">
      <x:alignment vertical="center" wrapText="1"/>
    </x:xf>
    <x:xf numFmtId="0" fontId="59" fillId="44" borderId="43" xfId="0" applyNumberFormat="1" applyFont="1" applyFill="1" applyBorder="1" applyAlignment="1">
      <x:alignment vertical="center" wrapText="1"/>
    </x:xf>
    <x:xf numFmtId="0" fontId="59" fillId="44" borderId="44" xfId="0" applyNumberFormat="1" applyFont="1" applyFill="1" applyBorder="1" applyAlignment="1">
      <x:alignment vertical="center" wrapText="1"/>
    </x:xf>
    <x:xf numFmtId="0" fontId="59" fillId="44" borderId="45" xfId="0" applyNumberFormat="1" applyFont="1" applyFill="1" applyBorder="1" applyAlignment="1">
      <x:alignment vertical="center" wrapText="1"/>
    </x:xf>
    <x:xf numFmtId="0" fontId="0" fillId="44" borderId="19" xfId="0" applyNumberFormat="1" applyFont="1" applyFill="1" applyBorder="1"/>
    <x:xf numFmtId="0" fontId="59" fillId="44" borderId="19" xfId="0" applyNumberFormat="1" applyFont="1" applyFill="1" applyBorder="1"/>
    <x:xf numFmtId="0" fontId="59" fillId="44" borderId="46" xfId="0" applyNumberFormat="1" applyFont="1" applyFill="1" applyBorder="1"/>
    <x:xf numFmtId="0" fontId="59" fillId="44" borderId="47" xfId="0" applyNumberFormat="1" applyFont="1" applyFill="1" applyBorder="1"/>
    <x:xf numFmtId="0" fontId="59" fillId="44" borderId="48" xfId="0" applyNumberFormat="1" applyFont="1" applyFill="1" applyBorder="1"/>
    <x:xf numFmtId="0" fontId="59" fillId="44" borderId="49" xfId="0" applyNumberFormat="1" applyFont="1" applyFill="1" applyBorder="1"/>
    <x:xf numFmtId="0" fontId="59" fillId="44" borderId="50" xfId="0" applyNumberFormat="1" applyFont="1" applyFill="1" applyBorder="1"/>
    <x:xf numFmtId="0" fontId="59" fillId="44" borderId="51" xfId="0" applyNumberFormat="1" applyFont="1" applyFill="1" applyBorder="1"/>
    <x:xf numFmtId="0" fontId="59" fillId="44" borderId="46" xfId="0" applyNumberFormat="1" applyFont="1" applyFill="1" applyBorder="1" applyAlignment="1">
      <x:alignment wrapText="1"/>
    </x:xf>
    <x:xf numFmtId="0" fontId="59" fillId="44" borderId="47" xfId="0" applyNumberFormat="1" applyFont="1" applyFill="1" applyBorder="1" applyAlignment="1">
      <x:alignment wrapText="1"/>
    </x:xf>
    <x:xf numFmtId="0" fontId="59" fillId="44" borderId="48" xfId="0" applyNumberFormat="1" applyFont="1" applyFill="1" applyBorder="1" applyAlignment="1">
      <x:alignment wrapText="1"/>
    </x:xf>
    <x:xf numFmtId="0" fontId="59" fillId="44" borderId="49" xfId="0" applyNumberFormat="1" applyFont="1" applyFill="1" applyBorder="1" applyAlignment="1">
      <x:alignment wrapText="1"/>
    </x:xf>
    <x:xf numFmtId="0" fontId="59" fillId="44" borderId="50" xfId="0" applyNumberFormat="1" applyFont="1" applyFill="1" applyBorder="1" applyAlignment="1">
      <x:alignment wrapText="1"/>
    </x:xf>
    <x:xf numFmtId="0" fontId="59" fillId="44" borderId="51" xfId="0" applyNumberFormat="1" applyFont="1" applyFill="1" applyBorder="1" applyAlignment="1">
      <x:alignment wrapText="1"/>
    </x:xf>
    <x:xf numFmtId="0" fontId="59" fillId="44" borderId="46" xfId="0" applyNumberFormat="1" applyFont="1" applyFill="1" applyBorder="1" applyAlignment="1">
      <x:alignment vertical="center" wrapText="1"/>
    </x:xf>
    <x:xf numFmtId="0" fontId="59" fillId="44" borderId="47" xfId="0" applyNumberFormat="1" applyFont="1" applyFill="1" applyBorder="1" applyAlignment="1">
      <x:alignment vertical="center" wrapText="1"/>
    </x:xf>
    <x:xf numFmtId="0" fontId="59" fillId="44" borderId="48" xfId="0" applyNumberFormat="1" applyFont="1" applyFill="1" applyBorder="1" applyAlignment="1">
      <x:alignment vertical="center" wrapText="1"/>
    </x:xf>
    <x:xf numFmtId="0" fontId="59" fillId="44" borderId="49" xfId="0" applyNumberFormat="1" applyFont="1" applyFill="1" applyBorder="1" applyAlignment="1">
      <x:alignment vertical="center" wrapText="1"/>
    </x:xf>
    <x:xf numFmtId="0" fontId="59" fillId="44" borderId="50" xfId="0" applyNumberFormat="1" applyFont="1" applyFill="1" applyBorder="1" applyAlignment="1">
      <x:alignment vertical="center" wrapText="1"/>
    </x:xf>
    <x:xf numFmtId="0" fontId="59" fillId="44" borderId="51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/>
    <x:xf numFmtId="0" fontId="60" fillId="48" borderId="0" xfId="0" applyNumberFormat="1" applyFont="1" applyFill="1" applyBorder="1"/>
    <x:xf numFmtId="0" fontId="0" fillId="48" borderId="19" xfId="0" applyNumberFormat="1" applyFont="1" applyFill="1" applyBorder="1"/>
    <x:xf numFmtId="0" fontId="60" fillId="48" borderId="19" xfId="0" applyNumberFormat="1" applyFont="1" applyFill="1" applyBorder="1"/>
    <x:xf numFmtId="0" fontId="6" fillId="0" borderId="0" xfId="0" applyNumberFormat="1" applyFont="1" applyFill="1" applyBorder="1"/>
    <x:xf numFmtId="0" fontId="6" fillId="0" borderId="19" xfId="0" applyNumberFormat="1" applyFont="1" applyFill="1" applyBorder="1"/>
    <x:xf numFmtId="0" fontId="61" fillId="48" borderId="0" xfId="0" applyNumberFormat="1" applyFont="1" applyFill="1" applyBorder="1"/>
    <x:xf numFmtId="0" fontId="61" fillId="48" borderId="10" xfId="0" applyNumberFormat="1" applyFont="1" applyFill="1" applyBorder="1"/>
    <x:xf numFmtId="0" fontId="61" fillId="48" borderId="11" xfId="0" applyNumberFormat="1" applyFont="1" applyFill="1" applyBorder="1"/>
    <x:xf numFmtId="0" fontId="61" fillId="48" borderId="12" xfId="0" applyNumberFormat="1" applyFont="1" applyFill="1" applyBorder="1"/>
    <x:xf numFmtId="0" fontId="61" fillId="48" borderId="19" xfId="0" applyNumberFormat="1" applyFont="1" applyFill="1" applyBorder="1"/>
    <x:xf numFmtId="0" fontId="61" fillId="48" borderId="27" xfId="0" applyNumberFormat="1" applyFont="1" applyFill="1" applyBorder="1"/>
    <x:xf numFmtId="0" fontId="61" fillId="48" borderId="28" xfId="0" applyNumberFormat="1" applyFont="1" applyFill="1" applyBorder="1"/>
    <x:xf numFmtId="0" fontId="61" fillId="48" borderId="29" xfId="0" applyNumberFormat="1" applyFont="1" applyFill="1" applyBorder="1"/>
    <x:xf numFmtId="0" fontId="0" fillId="46" borderId="2" xfId="0" applyNumberFormat="1" applyFont="1" applyFill="1" applyBorder="1"/>
    <x:xf numFmtId="0" fontId="0" fillId="46" borderId="3" xfId="0" applyNumberFormat="1" applyFont="1" applyFill="1" applyBorder="1"/>
    <x:xf numFmtId="0" fontId="0" fillId="46" borderId="4" xfId="0" applyNumberFormat="1" applyFont="1" applyFill="1" applyBorder="1"/>
    <x:xf numFmtId="0" fontId="0" fillId="46" borderId="5" xfId="0" applyNumberFormat="1" applyFont="1" applyFill="1" applyBorder="1"/>
    <x:xf numFmtId="0" fontId="0" fillId="46" borderId="6" xfId="0" applyNumberFormat="1" applyFont="1" applyFill="1" applyBorder="1"/>
    <x:xf numFmtId="0" fontId="0" fillId="46" borderId="7" xfId="0" applyNumberFormat="1" applyFont="1" applyFill="1" applyBorder="1"/>
    <x:xf numFmtId="0" fontId="0" fillId="46" borderId="8" xfId="0" applyNumberFormat="1" applyFont="1" applyFill="1" applyBorder="1"/>
    <x:xf numFmtId="0" fontId="0" fillId="46" borderId="9" xfId="0" applyNumberFormat="1" applyFont="1" applyFill="1" applyBorder="1"/>
    <x:xf numFmtId="0" fontId="0" fillId="46" borderId="2" xfId="0" applyNumberFormat="1" applyFont="1" applyFill="1" applyBorder="1" applyAlignment="1">
      <x:alignment wrapText="1"/>
    </x:xf>
    <x:xf numFmtId="0" fontId="0" fillId="46" borderId="3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46" borderId="5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6" borderId="6" xfId="0" applyNumberFormat="1" applyFont="1" applyFill="1" applyBorder="1" applyAlignment="1">
      <x:alignment wrapText="1"/>
    </x:xf>
    <x:xf numFmtId="0" fontId="0" fillId="46" borderId="7" xfId="0" applyNumberFormat="1" applyFont="1" applyFill="1" applyBorder="1" applyAlignment="1">
      <x:alignment wrapText="1"/>
    </x:xf>
    <x:xf numFmtId="0" fontId="0" fillId="46" borderId="8" xfId="0" applyNumberFormat="1" applyFont="1" applyFill="1" applyBorder="1" applyAlignment="1">
      <x:alignment wrapText="1"/>
    </x:xf>
    <x:xf numFmtId="0" fontId="0" fillId="46" borderId="9" xfId="0" applyNumberFormat="1" applyFont="1" applyFill="1" applyBorder="1" applyAlignment="1">
      <x:alignment wrapText="1"/>
    </x:xf>
    <x:xf numFmtId="0" fontId="0" fillId="46" borderId="2" xfId="0" applyNumberFormat="1" applyFont="1" applyFill="1" applyBorder="1" applyAlignment="1">
      <x:alignment horizontal="center" wrapText="1"/>
    </x:xf>
    <x:xf numFmtId="0" fontId="0" fillId="46" borderId="3" xfId="0" applyNumberFormat="1" applyFont="1" applyFill="1" applyBorder="1" applyAlignment="1">
      <x:alignment horizontal="center" wrapText="1"/>
    </x:xf>
    <x:xf numFmtId="0" fontId="0" fillId="46" borderId="4" xfId="0" applyNumberFormat="1" applyFont="1" applyFill="1" applyBorder="1" applyAlignment="1">
      <x:alignment horizontal="center" wrapText="1"/>
    </x:xf>
    <x:xf numFmtId="0" fontId="0" fillId="46" borderId="5" xfId="0" applyNumberFormat="1" applyFont="1" applyFill="1" applyBorder="1" applyAlignment="1">
      <x:alignment horizontal="center" wrapText="1"/>
    </x:xf>
    <x:xf numFmtId="0" fontId="0" fillId="46" borderId="0" xfId="0" applyNumberFormat="1" applyFont="1" applyFill="1" applyBorder="1" applyAlignment="1">
      <x:alignment horizontal="center" wrapText="1"/>
    </x:xf>
    <x:xf numFmtId="0" fontId="0" fillId="46" borderId="6" xfId="0" applyNumberFormat="1" applyFont="1" applyFill="1" applyBorder="1" applyAlignment="1">
      <x:alignment horizontal="center" wrapText="1"/>
    </x:xf>
    <x:xf numFmtId="0" fontId="0" fillId="46" borderId="7" xfId="0" applyNumberFormat="1" applyFont="1" applyFill="1" applyBorder="1" applyAlignment="1">
      <x:alignment horizontal="center" wrapText="1"/>
    </x:xf>
    <x:xf numFmtId="0" fontId="0" fillId="46" borderId="8" xfId="0" applyNumberFormat="1" applyFont="1" applyFill="1" applyBorder="1" applyAlignment="1">
      <x:alignment horizontal="center" wrapText="1"/>
    </x:xf>
    <x:xf numFmtId="0" fontId="0" fillId="46" borderId="9" xfId="0" applyNumberFormat="1" applyFont="1" applyFill="1" applyBorder="1" applyAlignment="1">
      <x:alignment horizontal="center" wrapText="1"/>
    </x:xf>
    <x:xf numFmtId="0" fontId="0" fillId="46" borderId="2" xfId="0" applyNumberFormat="1" applyFont="1" applyFill="1" applyBorder="1" applyAlignment="1">
      <x:alignment horizontal="center" vertical="center" wrapText="1"/>
    </x:xf>
    <x:xf numFmtId="0" fontId="0" fillId="46" borderId="3" xfId="0" applyNumberFormat="1" applyFont="1" applyFill="1" applyBorder="1" applyAlignment="1">
      <x:alignment horizontal="center" vertical="center" wrapText="1"/>
    </x:xf>
    <x:xf numFmtId="0" fontId="0" fillId="46" borderId="4" xfId="0" applyNumberFormat="1" applyFont="1" applyFill="1" applyBorder="1" applyAlignment="1">
      <x:alignment horizontal="center" vertical="center" wrapText="1"/>
    </x:xf>
    <x:xf numFmtId="0" fontId="0" fillId="46" borderId="5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 applyAlignment="1">
      <x:alignment horizontal="center" vertical="center" wrapText="1"/>
    </x:xf>
    <x:xf numFmtId="0" fontId="0" fillId="46" borderId="6" xfId="0" applyNumberFormat="1" applyFont="1" applyFill="1" applyBorder="1" applyAlignment="1">
      <x:alignment horizontal="center" vertical="center" wrapText="1"/>
    </x:xf>
    <x:xf numFmtId="0" fontId="0" fillId="46" borderId="7" xfId="0" applyNumberFormat="1" applyFont="1" applyFill="1" applyBorder="1" applyAlignment="1">
      <x:alignment horizontal="center" vertical="center" wrapText="1"/>
    </x:xf>
    <x:xf numFmtId="0" fontId="0" fillId="46" borderId="8" xfId="0" applyNumberFormat="1" applyFont="1" applyFill="1" applyBorder="1" applyAlignment="1">
      <x:alignment horizontal="center" vertical="center" wrapText="1"/>
    </x:xf>
    <x:xf numFmtId="0" fontId="0" fillId="46" borderId="9" xfId="0" applyNumberFormat="1" applyFont="1" applyFill="1" applyBorder="1" applyAlignment="1">
      <x:alignment horizontal="center" vertical="center" wrapText="1"/>
    </x:xf>
    <x:xf numFmtId="0" fontId="0" fillId="46" borderId="30" xfId="0" applyNumberFormat="1" applyFont="1" applyFill="1" applyBorder="1"/>
    <x:xf numFmtId="0" fontId="0" fillId="46" borderId="25" xfId="0" applyNumberFormat="1" applyFont="1" applyFill="1" applyBorder="1"/>
    <x:xf numFmtId="0" fontId="0" fillId="46" borderId="26" xfId="0" applyNumberFormat="1" applyFont="1" applyFill="1" applyBorder="1"/>
    <x:xf numFmtId="0" fontId="0" fillId="46" borderId="21" xfId="0" applyNumberFormat="1" applyFont="1" applyFill="1" applyBorder="1"/>
    <x:xf numFmtId="0" fontId="0" fillId="46" borderId="20" xfId="0" applyNumberFormat="1" applyFont="1" applyFill="1" applyBorder="1"/>
    <x:xf numFmtId="0" fontId="0" fillId="46" borderId="22" xfId="0" applyNumberFormat="1" applyFont="1" applyFill="1" applyBorder="1"/>
    <x:xf numFmtId="0" fontId="0" fillId="46" borderId="23" xfId="0" applyNumberFormat="1" applyFont="1" applyFill="1" applyBorder="1"/>
    <x:xf numFmtId="0" fontId="0" fillId="46" borderId="24" xfId="0" applyNumberFormat="1" applyFont="1" applyFill="1" applyBorder="1"/>
    <x:xf numFmtId="0" fontId="0" fillId="46" borderId="30" xfId="0" applyNumberFormat="1" applyFont="1" applyFill="1" applyBorder="1" applyAlignment="1">
      <x:alignment wrapText="1"/>
    </x:xf>
    <x:xf numFmtId="0" fontId="0" fillId="46" borderId="25" xfId="0" applyNumberFormat="1" applyFont="1" applyFill="1" applyBorder="1" applyAlignment="1">
      <x:alignment wrapText="1"/>
    </x:xf>
    <x:xf numFmtId="0" fontId="0" fillId="46" borderId="26" xfId="0" applyNumberFormat="1" applyFont="1" applyFill="1" applyBorder="1" applyAlignment="1">
      <x:alignment wrapText="1"/>
    </x:xf>
    <x:xf numFmtId="0" fontId="0" fillId="46" borderId="21" xfId="0" applyNumberFormat="1" applyFont="1" applyFill="1" applyBorder="1" applyAlignment="1">
      <x:alignment wrapText="1"/>
    </x:xf>
    <x:xf numFmtId="0" fontId="0" fillId="46" borderId="19" xfId="0" applyNumberFormat="1" applyFont="1" applyFill="1" applyBorder="1" applyAlignment="1">
      <x:alignment wrapText="1"/>
    </x:xf>
    <x:xf numFmtId="0" fontId="0" fillId="46" borderId="20" xfId="0" applyNumberFormat="1" applyFont="1" applyFill="1" applyBorder="1" applyAlignment="1">
      <x:alignment wrapText="1"/>
    </x:xf>
    <x:xf numFmtId="0" fontId="0" fillId="46" borderId="22" xfId="0" applyNumberFormat="1" applyFont="1" applyFill="1" applyBorder="1" applyAlignment="1">
      <x:alignment wrapText="1"/>
    </x:xf>
    <x:xf numFmtId="0" fontId="0" fillId="46" borderId="23" xfId="0" applyNumberFormat="1" applyFont="1" applyFill="1" applyBorder="1" applyAlignment="1">
      <x:alignment wrapText="1"/>
    </x:xf>
    <x:xf numFmtId="0" fontId="0" fillId="46" borderId="24" xfId="0" applyNumberFormat="1" applyFont="1" applyFill="1" applyBorder="1" applyAlignment="1">
      <x:alignment wrapText="1"/>
    </x:xf>
    <x:xf numFmtId="0" fontId="0" fillId="46" borderId="30" xfId="0" applyNumberFormat="1" applyFont="1" applyFill="1" applyBorder="1" applyAlignment="1">
      <x:alignment horizontal="center" wrapText="1"/>
    </x:xf>
    <x:xf numFmtId="0" fontId="0" fillId="46" borderId="25" xfId="0" applyNumberFormat="1" applyFont="1" applyFill="1" applyBorder="1" applyAlignment="1">
      <x:alignment horizontal="center" wrapText="1"/>
    </x:xf>
    <x:xf numFmtId="0" fontId="0" fillId="46" borderId="26" xfId="0" applyNumberFormat="1" applyFont="1" applyFill="1" applyBorder="1" applyAlignment="1">
      <x:alignment horizontal="center" wrapText="1"/>
    </x:xf>
    <x:xf numFmtId="0" fontId="0" fillId="46" borderId="21" xfId="0" applyNumberFormat="1" applyFont="1" applyFill="1" applyBorder="1" applyAlignment="1">
      <x:alignment horizontal="center" wrapText="1"/>
    </x:xf>
    <x:xf numFmtId="0" fontId="0" fillId="46" borderId="19" xfId="0" applyNumberFormat="1" applyFont="1" applyFill="1" applyBorder="1" applyAlignment="1">
      <x:alignment horizontal="center" wrapText="1"/>
    </x:xf>
    <x:xf numFmtId="0" fontId="0" fillId="46" borderId="20" xfId="0" applyNumberFormat="1" applyFont="1" applyFill="1" applyBorder="1" applyAlignment="1">
      <x:alignment horizontal="center" wrapText="1"/>
    </x:xf>
    <x:xf numFmtId="0" fontId="0" fillId="46" borderId="22" xfId="0" applyNumberFormat="1" applyFont="1" applyFill="1" applyBorder="1" applyAlignment="1">
      <x:alignment horizontal="center" wrapText="1"/>
    </x:xf>
    <x:xf numFmtId="0" fontId="0" fillId="46" borderId="23" xfId="0" applyNumberFormat="1" applyFont="1" applyFill="1" applyBorder="1" applyAlignment="1">
      <x:alignment horizontal="center" wrapText="1"/>
    </x:xf>
    <x:xf numFmtId="0" fontId="0" fillId="46" borderId="24" xfId="0" applyNumberFormat="1" applyFont="1" applyFill="1" applyBorder="1" applyAlignment="1">
      <x:alignment horizontal="center" wrapText="1"/>
    </x:xf>
    <x:xf numFmtId="0" fontId="0" fillId="46" borderId="30" xfId="0" applyNumberFormat="1" applyFont="1" applyFill="1" applyBorder="1" applyAlignment="1">
      <x:alignment horizontal="center" vertical="center" wrapText="1"/>
    </x:xf>
    <x:xf numFmtId="0" fontId="0" fillId="46" borderId="25" xfId="0" applyNumberFormat="1" applyFont="1" applyFill="1" applyBorder="1" applyAlignment="1">
      <x:alignment horizontal="center" vertical="center" wrapText="1"/>
    </x:xf>
    <x:xf numFmtId="0" fontId="0" fillId="46" borderId="26" xfId="0" applyNumberFormat="1" applyFont="1" applyFill="1" applyBorder="1" applyAlignment="1">
      <x:alignment horizontal="center" vertical="center" wrapText="1"/>
    </x:xf>
    <x:xf numFmtId="0" fontId="0" fillId="46" borderId="21" xfId="0" applyNumberFormat="1" applyFont="1" applyFill="1" applyBorder="1" applyAlignment="1">
      <x:alignment horizontal="center" vertical="center" wrapText="1"/>
    </x:xf>
    <x:xf numFmtId="0" fontId="0" fillId="46" borderId="19" xfId="0" applyNumberFormat="1" applyFont="1" applyFill="1" applyBorder="1" applyAlignment="1">
      <x:alignment horizontal="center" vertical="center" wrapText="1"/>
    </x:xf>
    <x:xf numFmtId="0" fontId="0" fillId="46" borderId="20" xfId="0" applyNumberFormat="1" applyFont="1" applyFill="1" applyBorder="1" applyAlignment="1">
      <x:alignment horizontal="center" vertical="center" wrapText="1"/>
    </x:xf>
    <x:xf numFmtId="0" fontId="0" fillId="46" borderId="22" xfId="0" applyNumberFormat="1" applyFont="1" applyFill="1" applyBorder="1" applyAlignment="1">
      <x:alignment horizontal="center" vertical="center" wrapText="1"/>
    </x:xf>
    <x:xf numFmtId="0" fontId="0" fillId="46" borderId="23" xfId="0" applyNumberFormat="1" applyFont="1" applyFill="1" applyBorder="1" applyAlignment="1">
      <x:alignment horizontal="center" vertical="center" wrapText="1"/>
    </x:xf>
    <x:xf numFmtId="0" fontId="0" fillId="46" borderId="24" xfId="0" applyNumberFormat="1" applyFont="1" applyFill="1" applyBorder="1" applyAlignment="1">
      <x:alignment horizontal="center" vertical="center" wrapText="1"/>
    </x:xf>
    <x:xf numFmtId="0" fontId="62" fillId="46" borderId="2" xfId="0" applyNumberFormat="1" applyFont="1" applyFill="1" applyBorder="1" applyAlignment="1">
      <x:alignment horizontal="center" vertical="center" wrapText="1"/>
    </x:xf>
    <x:xf numFmtId="0" fontId="62" fillId="46" borderId="30" xfId="0" applyNumberFormat="1" applyFont="1" applyFill="1" applyBorder="1" applyAlignment="1">
      <x:alignment horizontal="center" vertical="center" wrapText="1"/>
    </x:xf>
    <x:xf numFmtId="0" fontId="63" fillId="46" borderId="5" xfId="0" applyNumberFormat="1" applyFont="1" applyFill="1" applyBorder="1" applyAlignment="1">
      <x:alignment horizontal="center" vertical="center" wrapText="1"/>
    </x:xf>
    <x:xf numFmtId="0" fontId="63" fillId="46" borderId="21" xfId="0" applyNumberFormat="1" applyFont="1" applyFill="1" applyBorder="1" applyAlignment="1">
      <x:alignment horizontal="center" vertical="center" wrapText="1"/>
    </x:xf>
    <x:xf numFmtId="201" fontId="63" fillId="46" borderId="5" xfId="0" applyNumberFormat="1" applyFont="1" applyFill="1" applyBorder="1" applyAlignment="1">
      <x:alignment horizontal="center" vertical="center" wrapText="1"/>
    </x:xf>
    <x:xf numFmtId="201" fontId="63" fillId="46" borderId="21" xfId="0" applyNumberFormat="1" applyFont="1" applyFill="1" applyBorder="1" applyAlignment="1">
      <x:alignment horizontal="center" vertical="center" wrapText="1"/>
    </x:xf>
    <x:xf numFmtId="0" fontId="64" fillId="46" borderId="7" xfId="0" applyNumberFormat="1" applyFont="1" applyFill="1" applyBorder="1" applyAlignment="1">
      <x:alignment horizontal="center" vertical="center" wrapText="1"/>
    </x:xf>
    <x:xf numFmtId="0" fontId="64" fillId="46" borderId="22" xfId="0" applyNumberFormat="1" applyFont="1" applyFill="1" applyBorder="1" applyAlignment="1">
      <x:alignment horizontal="center" vertical="center" wrapText="1"/>
    </x:xf>
    <x:xf numFmtId="165" fontId="63" fillId="46" borderId="5" xfId="0" applyNumberFormat="1" applyFont="1" applyFill="1" applyBorder="1" applyAlignment="1">
      <x:alignment horizontal="center" vertical="center" wrapText="1"/>
    </x:xf>
    <x:xf numFmtId="165" fontId="63" fillId="46" borderId="21" xfId="0" applyNumberFormat="1" applyFont="1" applyFill="1" applyBorder="1" applyAlignment="1">
      <x:alignment horizontal="center" vertical="center" wrapText="1"/>
    </x:xf>
    <x:xf numFmtId="203" fontId="63" fillId="46" borderId="5" xfId="0" applyNumberFormat="1" applyFont="1" applyFill="1" applyBorder="1" applyAlignment="1">
      <x:alignment horizontal="center" vertical="center" wrapText="1"/>
    </x:xf>
    <x:xf numFmtId="203" fontId="63" fillId="46" borderId="21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65" fillId="49" borderId="0" xfId="0" applyNumberFormat="1" applyFont="1" applyFill="1" applyBorder="1"/>
    <x:xf numFmtId="0" fontId="65" fillId="49" borderId="0" xfId="0" applyNumberFormat="1" applyFont="1" applyFill="1" applyBorder="1" applyAlignment="1">
      <x:alignment horizontal="center"/>
    </x:xf>
    <x:xf numFmtId="0" fontId="0" fillId="49" borderId="19" xfId="0" applyNumberFormat="1" applyFont="1" applyFill="1" applyBorder="1"/>
    <x:xf numFmtId="0" fontId="65" fillId="49" borderId="19" xfId="0" applyNumberFormat="1" applyFont="1" applyFill="1" applyBorder="1"/>
    <x:xf numFmtId="0" fontId="65" fillId="49" borderId="19" xfId="0" applyNumberFormat="1" applyFont="1" applyFill="1" applyBorder="1" applyAlignment="1">
      <x:alignment horizontal="center"/>
    </x:xf>
    <x:xf numFmtId="0" fontId="66" fillId="47" borderId="0" xfId="0" applyNumberFormat="1" applyFont="1" applyFill="1" applyBorder="1"/>
    <x:xf numFmtId="0" fontId="66" fillId="47" borderId="0" xfId="0" applyNumberFormat="1" applyFont="1" applyFill="1" applyBorder="1" applyAlignment="1">
      <x:alignment horizontal="center"/>
    </x:xf>
    <x:xf numFmtId="0" fontId="66" fillId="47" borderId="19" xfId="0" applyNumberFormat="1" applyFont="1" applyFill="1" applyBorder="1"/>
    <x:xf numFmtId="0" fontId="66" fillId="47" borderId="19" xfId="0" applyNumberFormat="1" applyFont="1" applyFill="1" applyBorder="1" applyAlignment="1">
      <x:alignment horizontal="center"/>
    </x:xf>
    <x:xf numFmtId="202" fontId="66" fillId="47" borderId="0" xfId="0" applyNumberFormat="1" applyFont="1" applyFill="1" applyBorder="1" applyAlignment="1">
      <x:alignment horizontal="center"/>
    </x:xf>
    <x:xf numFmtId="202" fontId="66" fillId="47" borderId="19" xfId="0" applyNumberFormat="1" applyFont="1" applyFill="1" applyBorder="1" applyAlignment="1">
      <x:alignment horizontal="center"/>
    </x:xf>
    <x:xf numFmtId="200" fontId="66" fillId="47" borderId="0" xfId="0" applyNumberFormat="1" applyFont="1" applyFill="1" applyBorder="1" applyAlignment="1">
      <x:alignment horizontal="center"/>
    </x:xf>
    <x:xf numFmtId="200" fontId="66" fillId="47" borderId="19" xfId="0" applyNumberFormat="1" applyFont="1" applyFill="1" applyBorder="1" applyAlignment="1">
      <x:alignment horizontal="center"/>
    </x:xf>
    <x:xf numFmtId="201" fontId="66" fillId="47" borderId="0" xfId="0" applyNumberFormat="1" applyFont="1" applyFill="1" applyBorder="1" applyAlignment="1">
      <x:alignment horizontal="center"/>
    </x:xf>
    <x:xf numFmtId="201" fontId="66" fillId="47" borderId="19" xfId="0" applyNumberFormat="1" applyFont="1" applyFill="1" applyBorder="1" applyAlignment="1">
      <x:alignment horizontal="center"/>
    </x:xf>
    <x:xf numFmtId="203" fontId="66" fillId="47" borderId="0" xfId="0" applyNumberFormat="1" applyFont="1" applyFill="1" applyBorder="1" applyAlignment="1">
      <x:alignment horizontal="center"/>
    </x:xf>
    <x:xf numFmtId="203" fontId="66" fillId="47" borderId="19" xfId="0" applyNumberFormat="1" applyFont="1" applyFill="1" applyBorder="1" applyAlignment="1">
      <x:alignment horizontal="center"/>
    </x:xf>
    <x:xf numFmtId="0" fontId="67" fillId="44" borderId="0" xfId="0" applyNumberFormat="1" applyFont="1" applyFill="1" applyBorder="1"/>
    <x:xf numFmtId="0" fontId="67" fillId="44" borderId="40" xfId="0" applyNumberFormat="1" applyFont="1" applyFill="1" applyBorder="1"/>
    <x:xf numFmtId="0" fontId="67" fillId="44" borderId="41" xfId="0" applyNumberFormat="1" applyFont="1" applyFill="1" applyBorder="1"/>
    <x:xf numFmtId="0" fontId="67" fillId="44" borderId="42" xfId="0" applyNumberFormat="1" applyFont="1" applyFill="1" applyBorder="1"/>
    <x:xf numFmtId="0" fontId="67" fillId="44" borderId="52" xfId="0" applyNumberFormat="1" applyFont="1" applyFill="1" applyBorder="1"/>
    <x:xf numFmtId="0" fontId="67" fillId="44" borderId="53" xfId="0" applyNumberFormat="1" applyFont="1" applyFill="1" applyBorder="1"/>
    <x:xf numFmtId="0" fontId="67" fillId="44" borderId="43" xfId="0" applyNumberFormat="1" applyFont="1" applyFill="1" applyBorder="1"/>
    <x:xf numFmtId="0" fontId="67" fillId="44" borderId="44" xfId="0" applyNumberFormat="1" applyFont="1" applyFill="1" applyBorder="1"/>
    <x:xf numFmtId="0" fontId="67" fillId="44" borderId="45" xfId="0" applyNumberFormat="1" applyFont="1" applyFill="1" applyBorder="1"/>
    <x:xf numFmtId="0" fontId="67" fillId="44" borderId="40" xfId="0" applyNumberFormat="1" applyFont="1" applyFill="1" applyBorder="1" applyAlignment="1">
      <x:alignment wrapText="1"/>
    </x:xf>
    <x:xf numFmtId="0" fontId="67" fillId="44" borderId="41" xfId="0" applyNumberFormat="1" applyFont="1" applyFill="1" applyBorder="1" applyAlignment="1">
      <x:alignment wrapText="1"/>
    </x:xf>
    <x:xf numFmtId="0" fontId="67" fillId="44" borderId="42" xfId="0" applyNumberFormat="1" applyFont="1" applyFill="1" applyBorder="1" applyAlignment="1">
      <x:alignment wrapText="1"/>
    </x:xf>
    <x:xf numFmtId="0" fontId="67" fillId="44" borderId="52" xfId="0" applyNumberFormat="1" applyFont="1" applyFill="1" applyBorder="1" applyAlignment="1">
      <x:alignment wrapText="1"/>
    </x:xf>
    <x:xf numFmtId="0" fontId="67" fillId="44" borderId="0" xfId="0" applyNumberFormat="1" applyFont="1" applyFill="1" applyBorder="1" applyAlignment="1">
      <x:alignment wrapText="1"/>
    </x:xf>
    <x:xf numFmtId="0" fontId="67" fillId="44" borderId="53" xfId="0" applyNumberFormat="1" applyFont="1" applyFill="1" applyBorder="1" applyAlignment="1">
      <x:alignment wrapText="1"/>
    </x:xf>
    <x:xf numFmtId="0" fontId="67" fillId="44" borderId="43" xfId="0" applyNumberFormat="1" applyFont="1" applyFill="1" applyBorder="1" applyAlignment="1">
      <x:alignment wrapText="1"/>
    </x:xf>
    <x:xf numFmtId="0" fontId="67" fillId="44" borderId="44" xfId="0" applyNumberFormat="1" applyFont="1" applyFill="1" applyBorder="1" applyAlignment="1">
      <x:alignment wrapText="1"/>
    </x:xf>
    <x:xf numFmtId="0" fontId="67" fillId="44" borderId="45" xfId="0" applyNumberFormat="1" applyFont="1" applyFill="1" applyBorder="1" applyAlignment="1">
      <x:alignment wrapText="1"/>
    </x:xf>
    <x:xf numFmtId="0" fontId="67" fillId="44" borderId="40" xfId="0" applyNumberFormat="1" applyFont="1" applyFill="1" applyBorder="1" applyAlignment="1">
      <x:alignment vertical="center" wrapText="1"/>
    </x:xf>
    <x:xf numFmtId="0" fontId="67" fillId="44" borderId="41" xfId="0" applyNumberFormat="1" applyFont="1" applyFill="1" applyBorder="1" applyAlignment="1">
      <x:alignment vertical="center" wrapText="1"/>
    </x:xf>
    <x:xf numFmtId="0" fontId="67" fillId="44" borderId="42" xfId="0" applyNumberFormat="1" applyFont="1" applyFill="1" applyBorder="1" applyAlignment="1">
      <x:alignment vertical="center" wrapText="1"/>
    </x:xf>
    <x:xf numFmtId="0" fontId="67" fillId="44" borderId="52" xfId="0" applyNumberFormat="1" applyFont="1" applyFill="1" applyBorder="1" applyAlignment="1">
      <x:alignment vertical="center" wrapText="1"/>
    </x:xf>
    <x:xf numFmtId="0" fontId="67" fillId="44" borderId="0" xfId="0" applyNumberFormat="1" applyFont="1" applyFill="1" applyBorder="1" applyAlignment="1">
      <x:alignment vertical="center" wrapText="1"/>
    </x:xf>
    <x:xf numFmtId="0" fontId="67" fillId="44" borderId="53" xfId="0" applyNumberFormat="1" applyFont="1" applyFill="1" applyBorder="1" applyAlignment="1">
      <x:alignment vertical="center" wrapText="1"/>
    </x:xf>
    <x:xf numFmtId="0" fontId="67" fillId="44" borderId="43" xfId="0" applyNumberFormat="1" applyFont="1" applyFill="1" applyBorder="1" applyAlignment="1">
      <x:alignment vertical="center" wrapText="1"/>
    </x:xf>
    <x:xf numFmtId="0" fontId="67" fillId="44" borderId="44" xfId="0" applyNumberFormat="1" applyFont="1" applyFill="1" applyBorder="1" applyAlignment="1">
      <x:alignment vertical="center" wrapText="1"/>
    </x:xf>
    <x:xf numFmtId="0" fontId="67" fillId="44" borderId="45" xfId="0" applyNumberFormat="1" applyFont="1" applyFill="1" applyBorder="1" applyAlignment="1">
      <x:alignment vertical="center" wrapText="1"/>
    </x:xf>
    <x:xf numFmtId="0" fontId="67" fillId="44" borderId="19" xfId="0" applyNumberFormat="1" applyFont="1" applyFill="1" applyBorder="1"/>
    <x:xf numFmtId="0" fontId="67" fillId="44" borderId="46" xfId="0" applyNumberFormat="1" applyFont="1" applyFill="1" applyBorder="1"/>
    <x:xf numFmtId="0" fontId="67" fillId="44" borderId="47" xfId="0" applyNumberFormat="1" applyFont="1" applyFill="1" applyBorder="1"/>
    <x:xf numFmtId="0" fontId="67" fillId="44" borderId="48" xfId="0" applyNumberFormat="1" applyFont="1" applyFill="1" applyBorder="1"/>
    <x:xf numFmtId="0" fontId="67" fillId="44" borderId="54" xfId="0" applyNumberFormat="1" applyFont="1" applyFill="1" applyBorder="1"/>
    <x:xf numFmtId="0" fontId="67" fillId="44" borderId="55" xfId="0" applyNumberFormat="1" applyFont="1" applyFill="1" applyBorder="1"/>
    <x:xf numFmtId="0" fontId="67" fillId="44" borderId="49" xfId="0" applyNumberFormat="1" applyFont="1" applyFill="1" applyBorder="1"/>
    <x:xf numFmtId="0" fontId="67" fillId="44" borderId="50" xfId="0" applyNumberFormat="1" applyFont="1" applyFill="1" applyBorder="1"/>
    <x:xf numFmtId="0" fontId="67" fillId="44" borderId="51" xfId="0" applyNumberFormat="1" applyFont="1" applyFill="1" applyBorder="1"/>
    <x:xf numFmtId="0" fontId="67" fillId="44" borderId="46" xfId="0" applyNumberFormat="1" applyFont="1" applyFill="1" applyBorder="1" applyAlignment="1">
      <x:alignment wrapText="1"/>
    </x:xf>
    <x:xf numFmtId="0" fontId="67" fillId="44" borderId="47" xfId="0" applyNumberFormat="1" applyFont="1" applyFill="1" applyBorder="1" applyAlignment="1">
      <x:alignment wrapText="1"/>
    </x:xf>
    <x:xf numFmtId="0" fontId="67" fillId="44" borderId="48" xfId="0" applyNumberFormat="1" applyFont="1" applyFill="1" applyBorder="1" applyAlignment="1">
      <x:alignment wrapText="1"/>
    </x:xf>
    <x:xf numFmtId="0" fontId="67" fillId="44" borderId="54" xfId="0" applyNumberFormat="1" applyFont="1" applyFill="1" applyBorder="1" applyAlignment="1">
      <x:alignment wrapText="1"/>
    </x:xf>
    <x:xf numFmtId="0" fontId="67" fillId="44" borderId="19" xfId="0" applyNumberFormat="1" applyFont="1" applyFill="1" applyBorder="1" applyAlignment="1">
      <x:alignment wrapText="1"/>
    </x:xf>
    <x:xf numFmtId="0" fontId="67" fillId="44" borderId="55" xfId="0" applyNumberFormat="1" applyFont="1" applyFill="1" applyBorder="1" applyAlignment="1">
      <x:alignment wrapText="1"/>
    </x:xf>
    <x:xf numFmtId="0" fontId="67" fillId="44" borderId="49" xfId="0" applyNumberFormat="1" applyFont="1" applyFill="1" applyBorder="1" applyAlignment="1">
      <x:alignment wrapText="1"/>
    </x:xf>
    <x:xf numFmtId="0" fontId="67" fillId="44" borderId="50" xfId="0" applyNumberFormat="1" applyFont="1" applyFill="1" applyBorder="1" applyAlignment="1">
      <x:alignment wrapText="1"/>
    </x:xf>
    <x:xf numFmtId="0" fontId="67" fillId="44" borderId="51" xfId="0" applyNumberFormat="1" applyFont="1" applyFill="1" applyBorder="1" applyAlignment="1">
      <x:alignment wrapText="1"/>
    </x:xf>
    <x:xf numFmtId="0" fontId="67" fillId="44" borderId="46" xfId="0" applyNumberFormat="1" applyFont="1" applyFill="1" applyBorder="1" applyAlignment="1">
      <x:alignment vertical="center" wrapText="1"/>
    </x:xf>
    <x:xf numFmtId="0" fontId="67" fillId="44" borderId="47" xfId="0" applyNumberFormat="1" applyFont="1" applyFill="1" applyBorder="1" applyAlignment="1">
      <x:alignment vertical="center" wrapText="1"/>
    </x:xf>
    <x:xf numFmtId="0" fontId="67" fillId="44" borderId="48" xfId="0" applyNumberFormat="1" applyFont="1" applyFill="1" applyBorder="1" applyAlignment="1">
      <x:alignment vertical="center" wrapText="1"/>
    </x:xf>
    <x:xf numFmtId="0" fontId="67" fillId="44" borderId="54" xfId="0" applyNumberFormat="1" applyFont="1" applyFill="1" applyBorder="1" applyAlignment="1">
      <x:alignment vertical="center" wrapText="1"/>
    </x:xf>
    <x:xf numFmtId="0" fontId="67" fillId="44" borderId="19" xfId="0" applyNumberFormat="1" applyFont="1" applyFill="1" applyBorder="1" applyAlignment="1">
      <x:alignment vertical="center" wrapText="1"/>
    </x:xf>
    <x:xf numFmtId="0" fontId="67" fillId="44" borderId="55" xfId="0" applyNumberFormat="1" applyFont="1" applyFill="1" applyBorder="1" applyAlignment="1">
      <x:alignment vertical="center" wrapText="1"/>
    </x:xf>
    <x:xf numFmtId="0" fontId="67" fillId="44" borderId="49" xfId="0" applyNumberFormat="1" applyFont="1" applyFill="1" applyBorder="1" applyAlignment="1">
      <x:alignment vertical="center" wrapText="1"/>
    </x:xf>
    <x:xf numFmtId="0" fontId="67" fillId="44" borderId="50" xfId="0" applyNumberFormat="1" applyFont="1" applyFill="1" applyBorder="1" applyAlignment="1">
      <x:alignment vertical="center" wrapText="1"/>
    </x:xf>
    <x:xf numFmtId="0" fontId="67" fillId="44" borderId="51" xfId="0" applyNumberFormat="1" applyFont="1" applyFill="1" applyBorder="1" applyAlignment="1">
      <x:alignment vertical="center" wrapText="1"/>
    </x:xf>
    <x:xf numFmtId="0" fontId="68" fillId="47" borderId="0" xfId="0" applyNumberFormat="1" applyFont="1" applyFill="1" applyBorder="1"/>
    <x:xf numFmtId="0" fontId="68" fillId="47" borderId="0" xfId="0" applyNumberFormat="1" applyFont="1" applyFill="1" applyBorder="1" applyAlignment="1">
      <x:alignment wrapText="1"/>
    </x:xf>
    <x:xf numFmtId="0" fontId="68" fillId="47" borderId="0" xfId="0" applyNumberFormat="1" applyFont="1" applyFill="1" applyBorder="1" applyAlignment="1">
      <x:alignment vertical="center" wrapText="1"/>
    </x:xf>
    <x:xf numFmtId="0" fontId="68" fillId="47" borderId="19" xfId="0" applyNumberFormat="1" applyFont="1" applyFill="1" applyBorder="1"/>
    <x:xf numFmtId="0" fontId="68" fillId="47" borderId="19" xfId="0" applyNumberFormat="1" applyFont="1" applyFill="1" applyBorder="1" applyAlignment="1">
      <x:alignment wrapText="1"/>
    </x:xf>
    <x:xf numFmtId="0" fontId="68" fillId="47" borderId="19" xfId="0" applyNumberFormat="1" applyFont="1" applyFill="1" applyBorder="1" applyAlignment="1">
      <x:alignment vertical="center" wrapText="1"/>
    </x:xf>
    <x:xf numFmtId="201" fontId="19" fillId="24" borderId="0" xfId="0" applyNumberFormat="1" applyFont="1" applyFill="1" applyBorder="1" applyAlignment="1">
      <x:alignment vertical="center" wrapText="1"/>
    </x:xf>
    <x:xf numFmtId="201" fontId="22" fillId="24" borderId="6" xfId="0" applyNumberFormat="1" applyFont="1" applyFill="1" applyBorder="1" applyAlignment="1">
      <x:alignment wrapText="1"/>
    </x:xf>
    <x:xf numFmtId="201" fontId="19" fillId="24" borderId="19" xfId="0" applyNumberFormat="1" applyFont="1" applyFill="1" applyBorder="1" applyAlignment="1">
      <x:alignment vertical="center" wrapText="1"/>
    </x:xf>
    <x:xf numFmtId="201" fontId="22" fillId="24" borderId="20" xfId="0" applyNumberFormat="1" applyFont="1" applyFill="1" applyBorder="1" applyAlignment="1">
      <x:alignment wrapText="1"/>
    </x:xf>
    <x:xf numFmtId="165" fontId="19" fillId="24" borderId="0" xfId="0" applyNumberFormat="1" applyFont="1" applyFill="1" applyBorder="1" applyAlignment="1">
      <x:alignment vertical="center" wrapText="1"/>
    </x:xf>
    <x:xf numFmtId="165" fontId="22" fillId="24" borderId="6" xfId="0" applyNumberFormat="1" applyFont="1" applyFill="1" applyBorder="1" applyAlignment="1">
      <x:alignment wrapText="1"/>
    </x:xf>
    <x:xf numFmtId="165" fontId="19" fillId="24" borderId="19" xfId="0" applyNumberFormat="1" applyFont="1" applyFill="1" applyBorder="1" applyAlignment="1">
      <x:alignment vertical="center" wrapText="1"/>
    </x:xf>
    <x:xf numFmtId="165" fontId="22" fillId="24" borderId="20" xfId="0" applyNumberFormat="1" applyFont="1" applyFill="1" applyBorder="1" applyAlignment="1">
      <x:alignment wrapText="1"/>
    </x:xf>
    <x:xf numFmtId="203" fontId="19" fillId="24" borderId="0" xfId="0" applyNumberFormat="1" applyFont="1" applyFill="1" applyBorder="1" applyAlignment="1">
      <x:alignment vertical="center" wrapText="1"/>
    </x:xf>
    <x:xf numFmtId="203" fontId="22" fillId="24" borderId="6" xfId="0" applyNumberFormat="1" applyFont="1" applyFill="1" applyBorder="1" applyAlignment="1">
      <x:alignment wrapText="1"/>
    </x:xf>
    <x:xf numFmtId="203" fontId="19" fillId="24" borderId="19" xfId="0" applyNumberFormat="1" applyFont="1" applyFill="1" applyBorder="1" applyAlignment="1">
      <x:alignment vertical="center" wrapText="1"/>
    </x:xf>
    <x:xf numFmtId="203" fontId="22" fillId="24" borderId="20" xfId="0" applyNumberFormat="1" applyFont="1" applyFill="1" applyBorder="1" applyAlignment="1">
      <x:alignment wrapText="1"/>
    </x:xf>
    <x:xf numFmtId="0" fontId="17" fillId="48" borderId="2" xfId="0" applyNumberFormat="1" applyFont="1" applyFill="1" applyBorder="1" applyAlignment="1">
      <x:alignment horizontal="center" vertical="center" wrapText="1"/>
    </x:xf>
    <x:xf numFmtId="0" fontId="30" fillId="48" borderId="5" xfId="0" applyNumberFormat="1" applyFont="1" applyFill="1" applyBorder="1" applyAlignment="1">
      <x:alignment wrapText="1"/>
    </x:xf>
    <x:xf numFmtId="0" fontId="30" fillId="48" borderId="7" xfId="0" applyNumberFormat="1" applyFont="1" applyFill="1" applyBorder="1" applyAlignment="1">
      <x:alignment wrapText="1"/>
    </x:xf>
    <x:xf numFmtId="0" fontId="17" fillId="48" borderId="30" xfId="0" applyNumberFormat="1" applyFont="1" applyFill="1" applyBorder="1" applyAlignment="1">
      <x:alignment horizontal="center" vertical="center" wrapText="1"/>
    </x:xf>
    <x:xf numFmtId="0" fontId="30" fillId="48" borderId="21" xfId="0" applyNumberFormat="1" applyFont="1" applyFill="1" applyBorder="1" applyAlignment="1">
      <x:alignment wrapText="1"/>
    </x:xf>
    <x:xf numFmtId="0" fontId="30" fillId="48" borderId="22" xfId="0" applyNumberFormat="1" applyFont="1" applyFill="1" applyBorder="1" applyAlignment="1">
      <x:alignment wrapText="1"/>
    </x:xf>
    <x:xf numFmtId="0" fontId="69" fillId="48" borderId="2" xfId="0" applyNumberFormat="1" applyFont="1" applyFill="1" applyBorder="1" applyAlignment="1">
      <x:alignment horizontal="center" vertical="center" wrapText="1"/>
    </x:xf>
    <x:xf numFmtId="0" fontId="70" fillId="48" borderId="5" xfId="0" applyNumberFormat="1" applyFont="1" applyFill="1" applyBorder="1" applyAlignment="1">
      <x:alignment wrapText="1"/>
    </x:xf>
    <x:xf numFmtId="0" fontId="70" fillId="48" borderId="7" xfId="0" applyNumberFormat="1" applyFont="1" applyFill="1" applyBorder="1" applyAlignment="1">
      <x:alignment wrapText="1"/>
    </x:xf>
    <x:xf numFmtId="0" fontId="69" fillId="48" borderId="30" xfId="0" applyNumberFormat="1" applyFont="1" applyFill="1" applyBorder="1" applyAlignment="1">
      <x:alignment horizontal="center" vertical="center" wrapText="1"/>
    </x:xf>
    <x:xf numFmtId="0" fontId="70" fillId="48" borderId="21" xfId="0" applyNumberFormat="1" applyFont="1" applyFill="1" applyBorder="1" applyAlignment="1">
      <x:alignment wrapText="1"/>
    </x:xf>
    <x:xf numFmtId="0" fontId="70" fillId="48" borderId="22" xfId="0" applyNumberFormat="1" applyFont="1" applyFill="1" applyBorder="1" applyAlignment="1">
      <x:alignment wrapText="1"/>
    </x:xf>
    <x:xf numFmtId="0" fontId="71" fillId="24" borderId="3" xfId="0" applyNumberFormat="1" applyFont="1" applyFill="1" applyBorder="1" applyAlignment="1">
      <x:alignment wrapText="1"/>
    </x:xf>
    <x:xf numFmtId="0" fontId="71" fillId="24" borderId="4" xfId="0" applyNumberFormat="1" applyFont="1" applyFill="1" applyBorder="1" applyAlignment="1">
      <x:alignment wrapText="1"/>
    </x:xf>
    <x:xf numFmtId="0" fontId="71" fillId="24" borderId="25" xfId="0" applyNumberFormat="1" applyFont="1" applyFill="1" applyBorder="1" applyAlignment="1">
      <x:alignment wrapText="1"/>
    </x:xf>
    <x:xf numFmtId="0" fontId="71" fillId="24" borderId="26" xfId="0" applyNumberFormat="1" applyFont="1" applyFill="1" applyBorder="1" applyAlignment="1">
      <x:alignment wrapText="1"/>
    </x:xf>
    <x:xf numFmtId="201" fontId="72" fillId="24" borderId="0" xfId="0" applyNumberFormat="1" applyFont="1" applyFill="1" applyBorder="1" applyAlignment="1">
      <x:alignment vertical="center" wrapText="1"/>
    </x:xf>
    <x:xf numFmtId="201" fontId="72" fillId="24" borderId="6" xfId="0" applyNumberFormat="1" applyFont="1" applyFill="1" applyBorder="1" applyAlignment="1">
      <x:alignment wrapText="1"/>
    </x:xf>
    <x:xf numFmtId="201" fontId="72" fillId="24" borderId="19" xfId="0" applyNumberFormat="1" applyFont="1" applyFill="1" applyBorder="1" applyAlignment="1">
      <x:alignment vertical="center" wrapText="1"/>
    </x:xf>
    <x:xf numFmtId="201" fontId="72" fillId="24" borderId="20" xfId="0" applyNumberFormat="1" applyFont="1" applyFill="1" applyBorder="1" applyAlignment="1">
      <x:alignment wrapText="1"/>
    </x:xf>
    <x:xf numFmtId="165" fontId="72" fillId="24" borderId="0" xfId="0" applyNumberFormat="1" applyFont="1" applyFill="1" applyBorder="1" applyAlignment="1">
      <x:alignment vertical="center" wrapText="1"/>
    </x:xf>
    <x:xf numFmtId="165" fontId="72" fillId="24" borderId="6" xfId="0" applyNumberFormat="1" applyFont="1" applyFill="1" applyBorder="1" applyAlignment="1">
      <x:alignment wrapText="1"/>
    </x:xf>
    <x:xf numFmtId="165" fontId="72" fillId="24" borderId="19" xfId="0" applyNumberFormat="1" applyFont="1" applyFill="1" applyBorder="1" applyAlignment="1">
      <x:alignment vertical="center" wrapText="1"/>
    </x:xf>
    <x:xf numFmtId="165" fontId="72" fillId="24" borderId="20" xfId="0" applyNumberFormat="1" applyFont="1" applyFill="1" applyBorder="1" applyAlignment="1">
      <x:alignment wrapText="1"/>
    </x:xf>
    <x:xf numFmtId="203" fontId="72" fillId="24" borderId="0" xfId="0" applyNumberFormat="1" applyFont="1" applyFill="1" applyBorder="1" applyAlignment="1">
      <x:alignment vertical="center" wrapText="1"/>
    </x:xf>
    <x:xf numFmtId="203" fontId="72" fillId="24" borderId="6" xfId="0" applyNumberFormat="1" applyFont="1" applyFill="1" applyBorder="1" applyAlignment="1">
      <x:alignment wrapText="1"/>
    </x:xf>
    <x:xf numFmtId="203" fontId="72" fillId="24" borderId="19" xfId="0" applyNumberFormat="1" applyFont="1" applyFill="1" applyBorder="1" applyAlignment="1">
      <x:alignment vertical="center" wrapText="1"/>
    </x:xf>
    <x:xf numFmtId="203" fontId="72" fillId="24" borderId="20" xfId="0" applyNumberFormat="1" applyFont="1" applyFill="1" applyBorder="1" applyAlignment="1">
      <x:alignment wrapText="1"/>
    </x:xf>
    <x:xf numFmtId="0" fontId="20" fillId="24" borderId="8" xfId="0" applyNumberFormat="1" applyFont="1" applyFill="1" applyBorder="1" applyAlignment="1">
      <x:alignment vertical="top" wrapText="1"/>
    </x:xf>
    <x:xf numFmtId="0" fontId="20" fillId="24" borderId="9" xfId="0" applyNumberFormat="1" applyFont="1" applyFill="1" applyBorder="1" applyAlignment="1">
      <x:alignment wrapText="1"/>
    </x:xf>
    <x:xf numFmtId="0" fontId="20" fillId="24" borderId="24" xfId="0" applyNumberFormat="1" applyFont="1" applyFill="1" applyBorder="1" applyAlignment="1">
      <x:alignment wrapText="1"/>
    </x:xf>
    <x:xf numFmtId="165" fontId="23" fillId="24" borderId="13" xfId="0" applyNumberFormat="1" applyFont="1" applyFill="1" applyBorder="1" applyAlignment="1">
      <x:alignment vertical="center" wrapText="1"/>
    </x:xf>
    <x:xf numFmtId="165" fontId="23" fillId="24" borderId="16" xfId="0" applyNumberFormat="1" applyFont="1" applyFill="1" applyBorder="1" applyAlignment="1">
      <x:alignment vertical="center" wrapText="1"/>
    </x:xf>
    <x:xf numFmtId="165" fontId="23" fillId="24" borderId="33" xfId="0" applyNumberFormat="1" applyFont="1" applyFill="1" applyBorder="1" applyAlignment="1">
      <x:alignment vertical="center" wrapText="1"/>
    </x:xf>
    <x:xf numFmtId="165" fontId="23" fillId="24" borderId="34" xfId="0" applyNumberFormat="1" applyFont="1" applyFill="1" applyBorder="1" applyAlignment="1">
      <x:alignment vertical="center" wrapText="1"/>
    </x:xf>
    <x:xf numFmtId="200" fontId="23" fillId="24" borderId="13" xfId="0" applyNumberFormat="1" applyFont="1" applyFill="1" applyBorder="1" applyAlignment="1">
      <x:alignment vertical="center" wrapText="1"/>
    </x:xf>
    <x:xf numFmtId="200" fontId="23" fillId="24" borderId="16" xfId="0" applyNumberFormat="1" applyFont="1" applyFill="1" applyBorder="1" applyAlignment="1">
      <x:alignment vertical="center" wrapText="1"/>
    </x:xf>
    <x:xf numFmtId="200" fontId="23" fillId="24" borderId="33" xfId="0" applyNumberFormat="1" applyFont="1" applyFill="1" applyBorder="1" applyAlignment="1">
      <x:alignment vertical="center" wrapText="1"/>
    </x:xf>
    <x:xf numFmtId="200" fontId="23" fillId="24" borderId="34" xfId="0" applyNumberFormat="1" applyFont="1" applyFill="1" applyBorder="1" applyAlignment="1">
      <x:alignment vertical="center" wrapText="1"/>
    </x:xf>
    <x:xf numFmtId="0" fontId="26" fillId="26" borderId="5" xfId="0" applyNumberFormat="1" applyFont="1" applyFill="1" applyBorder="1" applyAlignment="1">
      <x:alignment vertical="top" wrapText="1"/>
    </x:xf>
    <x:xf numFmtId="0" fontId="16" fillId="26" borderId="0" xfId="0" applyNumberFormat="1" applyFont="1" applyFill="1" applyBorder="1" applyAlignment="1">
      <x:alignment wrapText="1"/>
    </x:xf>
    <x:xf numFmtId="0" fontId="16" fillId="26" borderId="6" xfId="0" applyNumberFormat="1" applyFont="1" applyFill="1" applyBorder="1" applyAlignment="1">
      <x:alignment wrapText="1"/>
    </x:xf>
    <x:xf numFmtId="0" fontId="16" fillId="26" borderId="5" xfId="0" applyNumberFormat="1" applyFont="1" applyFill="1" applyBorder="1" applyAlignment="1">
      <x:alignment wrapText="1"/>
    </x:xf>
    <x:xf numFmtId="0" fontId="16" fillId="26" borderId="7" xfId="0" applyNumberFormat="1" applyFont="1" applyFill="1" applyBorder="1" applyAlignment="1">
      <x:alignment wrapText="1"/>
    </x:xf>
    <x:xf numFmtId="0" fontId="16" fillId="26" borderId="8" xfId="0" applyNumberFormat="1" applyFont="1" applyFill="1" applyBorder="1" applyAlignment="1">
      <x:alignment wrapText="1"/>
    </x:xf>
    <x:xf numFmtId="0" fontId="16" fillId="26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6" fillId="4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3" fillId="4" borderId="0" xfId="0" applyNumberFormat="1" applyFont="1" applyFill="1" applyBorder="1"/>
    <x:xf numFmtId="3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/>
    <x:xf numFmtId="167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6" xfId="0" applyNumberFormat="1" applyFont="1" applyFill="1" applyBorder="1" applyAlignment="1">
      <x:alignment wrapText="1"/>
    </x:xf>
    <x:xf numFmtId="0" fontId="16" fillId="0" borderId="5" xfId="0" applyNumberFormat="1" applyFont="1" applyFill="1" applyBorder="1" applyAlignment="1">
      <x:alignment wrapText="1"/>
    </x:xf>
    <x:xf numFmtId="0" fontId="16" fillId="0" borderId="7" xfId="0" applyNumberFormat="1" applyFont="1" applyFill="1" applyBorder="1" applyAlignment="1">
      <x:alignment wrapText="1"/>
    </x:xf>
    <x:xf numFmtId="0" fontId="16" fillId="0" borderId="8" xfId="0" applyNumberFormat="1" applyFont="1" applyFill="1" applyBorder="1" applyAlignment="1">
      <x:alignment wrapText="1"/>
    </x:xf>
    <x:xf numFmtId="0" fontId="16" fillId="0" borderId="9" xfId="0" applyNumberFormat="1" applyFont="1" applyFill="1" applyBorder="1" applyAlignment="1">
      <x:alignment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16" fillId="0" borderId="3" xfId="0" applyNumberFormat="1" applyFont="1" applyFill="1" applyBorder="1" applyAlignment="1">
      <x:alignment wrapText="1"/>
    </x:xf>
    <x:xf numFmtId="0" fontId="16" fillId="0" borderId="4" xfId="0" applyNumberFormat="1" applyFont="1" applyFill="1" applyBorder="1" applyAlignment="1">
      <x:alignment wrapText="1"/>
    </x:xf>
    <x:xf numFmtId="0" fontId="28" fillId="23" borderId="5" xfId="0" applyNumberFormat="1" applyFont="1" applyFill="1" applyBorder="1" applyAlignment="1">
      <x:alignment horizontal="center" wrapText="1"/>
    </x:xf>
    <x:xf numFmtId="0" fontId="28" fillId="23" borderId="0" xfId="0" applyNumberFormat="1" applyFont="1" applyFill="1" applyBorder="1" applyAlignment="1">
      <x:alignment horizontal="center" wrapText="1"/>
    </x:xf>
    <x:xf numFmtId="0" fontId="28" fillId="23" borderId="6" xfId="0" applyNumberFormat="1" applyFont="1" applyFill="1" applyBorder="1" applyAlignment="1">
      <x:alignment horizontal="center" wrapText="1"/>
    </x:xf>
    <x:xf numFmtId="0" fontId="32" fillId="0" borderId="0" xfId="0" applyNumberFormat="1" applyFont="1" applyFill="1" applyBorder="1"/>
    <x:xf numFmtId="0" fontId="32" fillId="0" borderId="0" xfId="0" applyNumberFormat="1" applyFont="1" applyFill="1" applyBorder="1" applyAlignment="1">
      <x:alignment vertical="top" wrapText="1"/>
    </x:xf>
    <x:xf numFmtId="0" fontId="33" fillId="2" borderId="0" xfId="0" applyNumberFormat="1" applyFont="1" applyFill="1" applyBorder="1" applyAlignment="1">
      <x:alignment vertical="top" wrapText="1"/>
    </x:xf>
    <x:xf numFmtId="0" fontId="34" fillId="2" borderId="0" xfId="0" applyNumberFormat="1" applyFont="1" applyFill="1" applyBorder="1" applyAlignment="1">
      <x:alignment vertical="top" wrapText="1"/>
    </x:xf>
    <x:xf numFmtId="0" fontId="35" fillId="0" borderId="0" xfId="0" applyNumberFormat="1" applyFont="1" applyFill="1" applyBorder="1" applyAlignment="1">
      <x:alignment vertical="top" wrapText="1"/>
    </x:xf>
    <x:xf numFmtId="0" fontId="36" fillId="29" borderId="0" xfId="0" applyNumberFormat="1" applyFont="1" applyFill="1" applyBorder="1" applyAlignment="1">
      <x:alignment vertical="top" wrapText="1"/>
    </x:xf>
    <x:xf numFmtId="165" fontId="36" fillId="29" borderId="0" xfId="0" applyNumberFormat="1" applyFont="1" applyFill="1" applyBorder="1" applyAlignment="1">
      <x:alignment vertical="top" wrapText="1"/>
    </x:xf>
    <x:xf numFmtId="49" fontId="36" fillId="29" borderId="0" xfId="0" applyNumberFormat="1" applyFont="1" applyFill="1" applyBorder="1" applyAlignment="1">
      <x:alignment vertical="top" wrapText="1"/>
    </x:xf>
    <x:xf numFmtId="0" fontId="36" fillId="4" borderId="0" xfId="0" applyNumberFormat="1" applyFont="1" applyFill="1" applyBorder="1" applyAlignment="1">
      <x:alignment vertical="top" wrapText="1"/>
    </x:xf>
    <x:xf numFmtId="0" fontId="36" fillId="32" borderId="0" xfId="0" applyNumberFormat="1" applyFont="1" applyFill="1" applyBorder="1" applyAlignment="1">
      <x:alignment vertical="top" wrapText="1"/>
    </x:xf>
    <x:xf numFmtId="0" fontId="32" fillId="33" borderId="0" xfId="0" applyNumberFormat="1" applyFont="1" applyFill="1" applyBorder="1" applyAlignment="1">
      <x:alignment vertical="top" wrapText="1"/>
    </x:xf>
    <x:xf numFmtId="0" fontId="36" fillId="33" borderId="0" xfId="0" applyNumberFormat="1" applyFont="1" applyFill="1" applyBorder="1" applyAlignment="1">
      <x:alignment vertical="top" wrapText="1"/>
    </x:xf>
    <x:xf numFmtId="0" fontId="36" fillId="5" borderId="0" xfId="0" applyNumberFormat="1" applyFont="1" applyFill="1" applyBorder="1" applyAlignment="1">
      <x:alignment vertical="top" wrapText="1"/>
    </x:xf>
    <x:xf numFmtId="0" fontId="36" fillId="3" borderId="0" xfId="0" applyNumberFormat="1" applyFont="1" applyFill="1" applyBorder="1" applyAlignment="1">
      <x:alignment vertical="top" wrapText="1"/>
    </x:xf>
    <x:xf numFmtId="0" fontId="36" fillId="32" borderId="0" xfId="0" applyNumberFormat="1" applyFont="1" applyFill="1" applyBorder="1"/>
    <x:xf numFmtId="0" fontId="36" fillId="36" borderId="0" xfId="0" applyNumberFormat="1" applyFont="1" applyFill="1" applyBorder="1"/>
    <x:xf numFmtId="0" fontId="37" fillId="0" borderId="0" xfId="0" applyNumberFormat="1" applyFont="1" applyFill="1" applyBorder="1" applyAlignment="1">
      <x:alignment vertical="top" wrapText="1"/>
    </x:xf>
    <x:xf numFmtId="49" fontId="32" fillId="0" borderId="0" xfId="0" applyNumberFormat="1" applyFont="1" applyFill="1" applyBorder="1" applyAlignment="1">
      <x:alignment vertical="top" wrapText="1"/>
    </x:xf>
    <x:xf numFmtId="8" fontId="32" fillId="0" borderId="0" xfId="0" applyNumberFormat="1" applyFont="1" applyFill="1" applyBorder="1" applyAlignment="1">
      <x:alignment vertical="top" wrapText="1"/>
    </x:xf>
    <x:xf numFmtId="8" fontId="0" fillId="0" borderId="0" xfId="0" applyNumberFormat="1" applyFont="1" applyFill="1" applyBorder="1"/>
    <x:xf numFmtId="8" fontId="36" fillId="29" borderId="0" xfId="0" applyNumberFormat="1" applyFont="1" applyFill="1" applyBorder="1" applyAlignment="1">
      <x:alignment vertical="top" wrapText="1"/>
    </x:xf>
    <x:xf numFmtId="8" fontId="32" fillId="33" borderId="0" xfId="0" applyNumberFormat="1" applyFont="1" applyFill="1" applyBorder="1" applyAlignment="1">
      <x:alignment vertical="top" wrapText="1"/>
    </x:xf>
    <x:xf numFmtId="14" fontId="32" fillId="0" borderId="0" xfId="0" applyNumberFormat="1" applyFont="1" applyFill="1" applyBorder="1" applyAlignment="1">
      <x:alignment vertical="top" wrapText="1"/>
    </x:xf>
    <x:xf numFmtId="172" fontId="32" fillId="0" borderId="0" xfId="0" applyNumberFormat="1" applyFont="1" applyFill="1" applyBorder="1" applyAlignment="1">
      <x:alignment vertical="top" wrapText="1"/>
    </x:xf>
    <x:xf numFmtId="168" fontId="32" fillId="0" borderId="0" xfId="0" applyNumberFormat="1" applyFont="1" applyFill="1" applyBorder="1" applyAlignment="1">
      <x:alignment vertical="top" wrapText="1"/>
    </x:xf>
    <x:xf numFmtId="6" fontId="32" fillId="33" borderId="0" xfId="0" applyNumberFormat="1" applyFont="1" applyFill="1" applyBorder="1" applyAlignment="1">
      <x:alignment vertical="top" wrapText="1"/>
    </x:xf>
    <x:xf numFmtId="10" fontId="32" fillId="33" borderId="0" xfId="0" applyNumberFormat="1" applyFont="1" applyFill="1" applyBorder="1" applyAlignment="1">
      <x:alignment vertical="top" wrapText="1"/>
    </x:xf>
    <x:xf numFmtId="15" fontId="0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/>
    </x:xf>
    <x:xf numFmtId="49" fontId="4" fillId="3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1" fillId="21" borderId="10" xfId="0" applyNumberFormat="1" applyFont="1" applyFill="1" applyBorder="1" applyAlignment="1">
      <x:alignment vertical="center" wrapText="1"/>
    </x:xf>
    <x:xf numFmtId="0" fontId="30" fillId="21" borderId="11" xfId="0" applyNumberFormat="1" applyFont="1" applyFill="1" applyBorder="1" applyAlignment="1">
      <x:alignment wrapText="1"/>
    </x:xf>
    <x:xf numFmtId="0" fontId="30" fillId="21" borderId="12" xfId="0" applyNumberFormat="1" applyFont="1" applyFill="1" applyBorder="1" applyAlignment="1">
      <x:alignment wrapText="1"/>
    </x:xf>
    <x:xf numFmtId="0" fontId="24" fillId="27" borderId="10" xfId="0" applyNumberFormat="1" applyFont="1" applyFill="1" applyBorder="1" applyAlignment="1">
      <x:alignment vertical="center" wrapText="1"/>
    </x:xf>
    <x:xf numFmtId="0" fontId="25" fillId="27" borderId="11" xfId="0" applyNumberFormat="1" applyFont="1" applyFill="1" applyBorder="1" applyAlignment="1">
      <x:alignment wrapText="1"/>
    </x:xf>
    <x:xf numFmtId="0" fontId="25" fillId="27" borderId="12" xfId="0" applyNumberFormat="1" applyFont="1" applyFill="1" applyBorder="1" applyAlignment="1">
      <x:alignment wrapText="1"/>
    </x:xf>
    <x:xf numFmtId="0" fontId="17" fillId="21" borderId="2" xfId="0" applyNumberFormat="1" applyFont="1" applyFill="1" applyBorder="1" applyAlignment="1">
      <x:alignment horizontal="center" vertical="center" wrapText="1"/>
    </x:xf>
    <x:xf numFmtId="0" fontId="30" fillId="21" borderId="5" xfId="0" applyNumberFormat="1" applyFont="1" applyFill="1" applyBorder="1" applyAlignment="1">
      <x:alignment wrapText="1"/>
    </x:xf>
    <x:xf numFmtId="0" fontId="30" fillId="21" borderId="7" xfId="0" applyNumberFormat="1" applyFont="1" applyFill="1" applyBorder="1" applyAlignment="1">
      <x:alignment wrapText="1"/>
    </x:xf>
    <x:xf numFmtId="0" fontId="18" fillId="24" borderId="3" xfId="0" applyNumberFormat="1" applyFont="1" applyFill="1" applyBorder="1" applyAlignment="1">
      <x:alignment wrapText="1"/>
    </x:xf>
    <x:xf numFmtId="0" fontId="30" fillId="24" borderId="4" xfId="0" applyNumberFormat="1" applyFont="1" applyFill="1" applyBorder="1" applyAlignment="1">
      <x:alignment wrapText="1"/>
    </x:xf>
    <x:xf numFmtId="0" fontId="19" fillId="24" borderId="0" xfId="0" applyNumberFormat="1" applyFont="1" applyFill="1" applyBorder="1" applyAlignment="1">
      <x:alignment vertical="center" wrapText="1"/>
    </x:xf>
    <x:xf numFmtId="0" fontId="22" fillId="24" borderId="6" xfId="0" applyNumberFormat="1" applyFont="1" applyFill="1" applyBorder="1" applyAlignment="1">
      <x:alignment wrapText="1"/>
    </x:xf>
    <x:xf numFmtId="0" fontId="16" fillId="24" borderId="9" xfId="0" applyNumberFormat="1" applyFont="1" applyFill="1" applyBorder="1" applyAlignment="1">
      <x:alignment wrapText="1"/>
    </x:xf>
    <x:xf numFmtId="166" fontId="19" fillId="24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horizontal="center" vertical="center" wrapText="1"/>
    </x:xf>
    <x:xf numFmtId="0" fontId="11" fillId="20" borderId="1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wrapText="1"/>
    </x:xf>
    <x:xf numFmtId="0" fontId="14" fillId="20" borderId="0" xfId="0" applyNumberFormat="1" applyFont="1" applyFill="1" applyBorder="1" applyAlignment="1">
      <x:alignment vertical="top" wrapText="1"/>
    </x:xf>
    <x:xf numFmtId="0" fontId="13" fillId="20" borderId="0" xfId="0" applyNumberFormat="1" applyFont="1" applyFill="1" applyBorder="1" applyAlignment="1">
      <x:alignment horizontal="center" wrapText="1"/>
    </x:xf>
    <x:xf numFmtId="0" fontId="15" fillId="20" borderId="0" xfId="0" applyNumberFormat="1" applyFont="1" applyFill="1" applyBorder="1" applyAlignment="1">
      <x:alignment horizontal="center" vertical="top" wrapText="1"/>
    </x:xf>
    <x:xf numFmtId="0" fontId="16" fillId="21" borderId="11" xfId="0" applyNumberFormat="1" applyFont="1" applyFill="1" applyBorder="1" applyAlignment="1">
      <x:alignment wrapText="1"/>
    </x:xf>
    <x:xf numFmtId="0" fontId="16" fillId="21" borderId="12" xfId="0" applyNumberFormat="1" applyFont="1" applyFill="1" applyBorder="1" applyAlignment="1">
      <x:alignment wrapText="1"/>
    </x:xf>
    <x:xf numFmtId="0" fontId="18" fillId="23" borderId="5" xfId="0" applyNumberFormat="1" applyFont="1" applyFill="1" applyBorder="1" applyAlignment="1">
      <x:alignment horizontal="center" vertical="center" wrapText="1"/>
    </x:xf>
    <x:xf numFmtId="0" fontId="16" fillId="24" borderId="4" xfId="0" applyNumberFormat="1" applyFont="1" applyFill="1" applyBorder="1" applyAlignment="1">
      <x:alignment wrapText="1"/>
    </x:xf>
    <x:xf numFmtId="0" fontId="27" fillId="24" borderId="0" xfId="0" applyNumberFormat="1" applyFont="1" applyFill="1" applyBorder="1" applyAlignment="1">
      <x:alignment vertical="center" wrapText="1"/>
    </x:xf>
    <x:xf numFmtId="0" fontId="31" fillId="24" borderId="6" xfId="0" applyNumberFormat="1" applyFont="1" applyFill="1" applyBorder="1" applyAlignment="1">
      <x:alignment wrapText="1"/>
    </x:xf>
    <x:xf numFmtId="0" fontId="16" fillId="0" borderId="11" xfId="0" applyNumberFormat="1" applyFont="1" applyFill="1" applyBorder="1" applyAlignment="1">
      <x:alignment wrapText="1"/>
    </x:xf>
    <x:xf numFmtId="0" fontId="16" fillId="0" borderId="12" xfId="0" applyNumberFormat="1" applyFont="1" applyFill="1" applyBorder="1" applyAlignment="1">
      <x:alignment wrapText="1"/>
    </x:xf>
    <x:xf numFmtId="0" fontId="26" fillId="22" borderId="5" xfId="0" applyNumberFormat="1" applyFont="1" applyFill="1" applyBorder="1" applyAlignment="1">
      <x:alignment vertical="top" wrapText="1"/>
    </x:xf>
    <x:xf numFmtId="0" fontId="16" fillId="24" borderId="6" xfId="0" applyNumberFormat="1" applyFont="1" applyFill="1" applyBorder="1" applyAlignment="1">
      <x:alignment wrapText="1"/>
    </x:xf>
    <x:xf numFmtId="0" fontId="36" fillId="3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49" fontId="0" fillId="40" borderId="0" xfId="0" applyNumberFormat="1" applyFont="1" applyFill="1" applyBorder="1" applyAlignment="1">
      <x:alignment wrapText="1"/>
    </x:xf>
    <x:xf numFmtId="14" fontId="0" fillId="40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49" fontId="0" fillId="24" borderId="0" xfId="0" applyNumberFormat="1" applyFont="1" applyFill="1" applyBorder="1" applyAlignment="1">
      <x:alignment wrapText="1"/>
    </x:xf>
    <x:xf numFmtId="3" fontId="0" fillId="24" borderId="0" xfId="0" applyNumberFormat="1" applyFont="1" applyFill="1" applyBorder="1" applyAlignment="1">
      <x:alignment wrapText="1"/>
    </x:xf>
    <x:xf numFmtId="3" fontId="0" fillId="40" borderId="0" xfId="0" applyNumberFormat="1" applyFont="1" applyFill="1" applyBorder="1" applyAlignment="1">
      <x:alignment wrapText="1"/>
    </x:xf>
    <x:xf numFmtId="164" fontId="0" fillId="40" borderId="0" xfId="0" applyNumberFormat="1" applyFont="1" applyFill="1" applyBorder="1" applyAlignment="1">
      <x:alignment wrapText="1"/>
    </x:xf>
    <x:xf numFmtId="165" fontId="0" fillId="40" borderId="0" xfId="0" applyNumberFormat="1" applyFont="1" applyFill="1" applyBorder="1" applyAlignment="1">
      <x:alignment wrapText="1"/>
    </x:xf>
    <x:xf numFmtId="164" fontId="0" fillId="24" borderId="0" xfId="0" applyNumberFormat="1" applyFont="1" applyFill="1" applyBorder="1" applyAlignment="1">
      <x:alignment wrapText="1"/>
    </x:xf>
    <x:xf numFmtId="165" fontId="0" fillId="24" borderId="0" xfId="0" applyNumberFormat="1" applyFont="1" applyFill="1" applyBorder="1" applyAlignment="1">
      <x:alignment wrapText="1"/>
    </x:xf>
    <x:xf numFmtId="166" fontId="0" fillId="40" borderId="0" xfId="0" applyNumberFormat="1" applyFont="1" applyFill="1" applyBorder="1" applyAlignment="1">
      <x:alignment wrapText="1"/>
    </x:xf>
    <x:xf numFmtId="14" fontId="0" fillId="24" borderId="0" xfId="0" applyNumberFormat="1" applyFont="1" applyFill="1" applyBorder="1" applyAlignment="1">
      <x:alignment wrapText="1"/>
    </x:xf>
    <x:xf numFmtId="166" fontId="0" fillId="24" borderId="0" xfId="0" applyNumberFormat="1" applyFont="1" applyFill="1" applyBorder="1" applyAlignment="1">
      <x:alignment wrapText="1"/>
    </x:xf>
    <x:xf numFmtId="49" fontId="0" fillId="40" borderId="0" xfId="0" applyNumberFormat="1" applyFont="1" applyFill="1" applyBorder="1"/>
    <x:xf numFmtId="0" fontId="0" fillId="40" borderId="0" xfId="0" applyNumberFormat="1" applyFont="1" applyFill="1" applyBorder="1"/>
    <x:xf numFmtId="14" fontId="0" fillId="40" borderId="0" xfId="0" applyNumberFormat="1" applyFont="1" applyFill="1" applyBorder="1"/>
    <x:xf numFmtId="49" fontId="0" fillId="24" borderId="0" xfId="0" applyNumberFormat="1" applyFont="1" applyFill="1" applyBorder="1"/>
    <x:xf numFmtId="0" fontId="0" fillId="24" borderId="0" xfId="0" applyNumberFormat="1" applyFont="1" applyFill="1" applyBorder="1"/>
    <x:xf numFmtId="14" fontId="0" fillId="24" borderId="0" xfId="0" applyNumberFormat="1" applyFont="1" applyFill="1" applyBorder="1"/>
    <x:xf numFmtId="0" fontId="39" fillId="41" borderId="0" xfId="0" applyNumberFormat="1" applyFont="1" applyFill="1" applyBorder="1" applyAlignment="1">
      <x:alignment wrapText="1"/>
    </x:xf>
    <x:xf numFmtId="0" fontId="40" fillId="37" borderId="0" xfId="0" applyNumberFormat="1" applyFont="1" applyFill="1" applyBorder="1" applyAlignment="1">
      <x:alignment wrapText="1"/>
    </x:xf>
    <x:xf numFmtId="0" fontId="41" fillId="42" borderId="0" xfId="0" applyNumberFormat="1" applyFont="1" applyFill="1" applyBorder="1" applyAlignment="1">
      <x:alignment wrapText="1"/>
    </x:xf>
    <x:xf numFmtId="0" fontId="22" fillId="24" borderId="15" xfId="0" applyNumberFormat="1" applyFont="1" applyFill="1" applyBorder="1" applyAlignment="1">
      <x:alignment vertical="center" wrapText="1"/>
    </x:xf>
    <x:xf numFmtId="0" fontId="22" fillId="24" borderId="13" xfId="0" applyNumberFormat="1" applyFont="1" applyFill="1" applyBorder="1" applyAlignment="1">
      <x:alignment vertical="center" wrapText="1"/>
    </x:xf>
    <x:xf numFmtId="0" fontId="23" fillId="24" borderId="13" xfId="0" applyNumberFormat="1" applyFont="1" applyFill="1" applyBorder="1" applyAlignment="1">
      <x:alignment vertical="center" wrapText="1"/>
    </x:xf>
    <x:xf numFmtId="0" fontId="23" fillId="24" borderId="16" xfId="0" applyNumberFormat="1" applyFont="1" applyFill="1" applyBorder="1" applyAlignment="1">
      <x:alignment vertical="center" wrapText="1"/>
    </x:xf>
    <x:xf numFmtId="0" fontId="22" fillId="40" borderId="15" xfId="0" applyNumberFormat="1" applyFont="1" applyFill="1" applyBorder="1" applyAlignment="1">
      <x:alignment vertical="center" wrapText="1"/>
    </x:xf>
    <x:xf numFmtId="0" fontId="22" fillId="40" borderId="13" xfId="0" applyNumberFormat="1" applyFont="1" applyFill="1" applyBorder="1" applyAlignment="1">
      <x:alignment vertical="center" wrapText="1"/>
    </x:xf>
    <x:xf numFmtId="0" fontId="23" fillId="40" borderId="13" xfId="0" applyNumberFormat="1" applyFont="1" applyFill="1" applyBorder="1" applyAlignment="1">
      <x:alignment vertical="center" wrapText="1"/>
    </x:xf>
    <x:xf numFmtId="0" fontId="23" fillId="40" borderId="16" xfId="0" applyNumberFormat="1" applyFont="1" applyFill="1" applyBorder="1" applyAlignment="1">
      <x:alignment vertical="center" wrapText="1"/>
    </x:xf>
    <x:xf numFmtId="166" fontId="23" fillId="24" borderId="13" xfId="0" applyNumberFormat="1" applyFont="1" applyFill="1" applyBorder="1" applyAlignment="1">
      <x:alignment vertical="center" wrapText="1"/>
    </x:xf>
    <x:xf numFmtId="166" fontId="23" fillId="24" borderId="16" xfId="0" applyNumberFormat="1" applyFont="1" applyFill="1" applyBorder="1" applyAlignment="1">
      <x:alignment vertical="center" wrapText="1"/>
    </x:xf>
    <x:xf numFmtId="0" fontId="22" fillId="40" borderId="7" xfId="0" applyNumberFormat="1" applyFont="1" applyFill="1" applyBorder="1" applyAlignment="1">
      <x:alignment vertical="center" wrapText="1"/>
    </x:xf>
    <x:xf numFmtId="0" fontId="22" fillId="40" borderId="8" xfId="0" applyNumberFormat="1" applyFont="1" applyFill="1" applyBorder="1" applyAlignment="1">
      <x:alignment vertical="center" wrapText="1"/>
    </x:xf>
    <x:xf numFmtId="0" fontId="23" fillId="40" borderId="8" xfId="0" applyNumberFormat="1" applyFont="1" applyFill="1" applyBorder="1" applyAlignment="1">
      <x:alignment vertical="center" wrapText="1"/>
    </x:xf>
    <x:xf numFmtId="0" fontId="23" fillId="40" borderId="9" xfId="0" applyNumberFormat="1" applyFont="1" applyFill="1" applyBorder="1" applyAlignment="1">
      <x:alignment vertical="center" wrapText="1"/>
    </x:xf>
    <x:xf numFmtId="0" fontId="26" fillId="24" borderId="14" xfId="0" applyNumberFormat="1" applyFont="1" applyFill="1" applyBorder="1" applyAlignment="1">
      <x:alignment vertical="center" wrapText="1"/>
    </x:xf>
    <x:xf numFmtId="0" fontId="26" fillId="24" borderId="18" xfId="0" applyNumberFormat="1" applyFont="1" applyFill="1" applyBorder="1" applyAlignment="1">
      <x:alignment vertical="center" wrapText="1"/>
    </x:xf>
    <x:xf numFmtId="0" fontId="25" fillId="42" borderId="17" xfId="0" applyNumberFormat="1" applyFont="1" applyFill="1" applyBorder="1" applyAlignment="1">
      <x:alignment vertical="center" wrapText="1"/>
    </x:xf>
    <x:xf numFmtId="0" fontId="25" fillId="42" borderId="14" xfId="0" applyNumberFormat="1" applyFont="1" applyFill="1" applyBorder="1" applyAlignment="1">
      <x:alignment vertical="center" wrapText="1"/>
    </x:xf>
    <x:xf numFmtId="0" fontId="26" fillId="40" borderId="14" xfId="0" applyNumberFormat="1" applyFont="1" applyFill="1" applyBorder="1" applyAlignment="1">
      <x:alignment vertical="center" wrapText="1"/>
    </x:xf>
    <x:xf numFmtId="0" fontId="26" fillId="40" borderId="18" xfId="0" applyNumberFormat="1" applyFont="1" applyFill="1" applyBorder="1" applyAlignment="1">
      <x:alignment vertical="center" wrapText="1"/>
    </x:xf>
    <x:xf numFmtId="0" fontId="26" fillId="24" borderId="8" xfId="0" applyNumberFormat="1" applyFont="1" applyFill="1" applyBorder="1" applyAlignment="1">
      <x:alignment vertical="center" wrapText="1"/>
    </x:xf>
    <x:xf numFmtId="0" fontId="26" fillId="24" borderId="9" xfId="0" applyNumberFormat="1" applyFont="1" applyFill="1" applyBorder="1" applyAlignment="1">
      <x:alignment vertical="center" wrapText="1"/>
    </x:xf>
    <x:xf numFmtId="0" fontId="46" fillId="37" borderId="7" xfId="0" applyNumberFormat="1" applyFont="1" applyFill="1" applyBorder="1" applyAlignment="1">
      <x:alignment vertical="center" wrapText="1"/>
    </x:xf>
    <x:xf numFmtId="0" fontId="46" fillId="37" borderId="8" xfId="0" applyNumberFormat="1" applyFont="1" applyFill="1" applyBorder="1" applyAlignment="1">
      <x:alignment vertical="center" wrapText="1"/>
    </x:xf>
    <x:xf numFmtId="0" fontId="19" fillId="33" borderId="2" xfId="0" applyNumberFormat="1" applyFont="1" applyFill="1" applyBorder="1" applyAlignment="1">
      <x:alignment horizontal="center" vertical="center" wrapText="1"/>
    </x:xf>
    <x:xf numFmtId="0" fontId="48" fillId="33" borderId="3" xfId="0" applyNumberFormat="1" applyFont="1" applyFill="1" applyBorder="1" applyAlignment="1">
      <x:alignment wrapText="1"/>
    </x:xf>
    <x:xf numFmtId="0" fontId="23" fillId="33" borderId="4" xfId="0" applyNumberFormat="1" applyFont="1" applyFill="1" applyBorder="1" applyAlignment="1">
      <x:alignment wrapText="1"/>
    </x:xf>
    <x:xf numFmtId="0" fontId="22" fillId="33" borderId="5" xfId="0" applyNumberFormat="1" applyFont="1" applyFill="1" applyBorder="1" applyAlignment="1">
      <x:alignment wrapText="1"/>
    </x:xf>
    <x:xf numFmtId="0" fontId="19" fillId="33" borderId="0" xfId="0" applyNumberFormat="1" applyFont="1" applyFill="1" applyBorder="1" applyAlignment="1">
      <x:alignment vertical="center" wrapText="1"/>
    </x:xf>
    <x:xf numFmtId="0" fontId="22" fillId="33" borderId="6" xfId="0" applyNumberFormat="1" applyFont="1" applyFill="1" applyBorder="1" applyAlignment="1">
      <x:alignment wrapText="1"/>
    </x:xf>
    <x:xf numFmtId="0" fontId="22" fillId="33" borderId="7" xfId="0" applyNumberFormat="1" applyFont="1" applyFill="1" applyBorder="1" applyAlignment="1">
      <x:alignment wrapText="1"/>
    </x:xf>
    <x:xf numFmtId="0" fontId="29" fillId="33" borderId="8" xfId="0" applyNumberFormat="1" applyFont="1" applyFill="1" applyBorder="1" applyAlignment="1">
      <x:alignment vertical="top" wrapText="1"/>
    </x:xf>
    <x:xf numFmtId="0" fontId="23" fillId="33" borderId="9" xfId="0" applyNumberFormat="1" applyFont="1" applyFill="1" applyBorder="1" applyAlignment="1">
      <x:alignment wrapText="1"/>
    </x:xf>
    <x:xf numFmtId="0" fontId="50" fillId="43" borderId="10" xfId="0" applyNumberFormat="1" applyFont="1" applyFill="1" applyBorder="1" applyAlignment="1">
      <x:alignment vertical="center" wrapText="1"/>
    </x:xf>
    <x:xf numFmtId="0" fontId="51" fillId="43" borderId="11" xfId="0" applyNumberFormat="1" applyFont="1" applyFill="1" applyBorder="1" applyAlignment="1">
      <x:alignment wrapText="1"/>
    </x:xf>
    <x:xf numFmtId="0" fontId="51" fillId="43" borderId="12" xfId="0" applyNumberFormat="1" applyFont="1" applyFill="1" applyBorder="1" applyAlignment="1">
      <x:alignment wrapText="1"/>
    </x:xf>
    <x:xf numFmtId="0" fontId="52" fillId="33" borderId="5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wrapText="1"/>
    </x:xf>
    <x:xf numFmtId="0" fontId="23" fillId="33" borderId="6" xfId="0" applyNumberFormat="1" applyFont="1" applyFill="1" applyBorder="1" applyAlignment="1">
      <x:alignment wrapText="1"/>
    </x:xf>
    <x:xf numFmtId="0" fontId="23" fillId="33" borderId="7" xfId="0" applyNumberFormat="1" applyFont="1" applyFill="1" applyBorder="1" applyAlignment="1">
      <x:alignment wrapText="1"/>
    </x:xf>
    <x:xf numFmtId="0" fontId="23" fillId="33" borderId="8" xfId="0" applyNumberFormat="1" applyFont="1" applyFill="1" applyBorder="1" applyAlignment="1">
      <x:alignment wrapText="1"/>
    </x:xf>
    <x:xf numFmtId="0" fontId="26" fillId="24" borderId="13" xfId="0" applyNumberFormat="1" applyFont="1" applyFill="1" applyBorder="1" applyAlignment="1">
      <x:alignment vertical="center" wrapText="1"/>
    </x:xf>
    <x:xf numFmtId="171" fontId="26" fillId="24" borderId="13" xfId="0" applyNumberFormat="1" applyFont="1" applyFill="1" applyBorder="1" applyAlignment="1">
      <x:alignment vertical="center" wrapText="1"/>
    </x:xf>
    <x:xf numFmtId="0" fontId="26" fillId="24" borderId="16" xfId="0" applyNumberFormat="1" applyFont="1" applyFill="1" applyBorder="1" applyAlignment="1">
      <x:alignment vertical="center" wrapText="1"/>
    </x:xf>
    <x:xf numFmtId="0" fontId="26" fillId="24" borderId="15" xfId="0" applyNumberFormat="1" applyFont="1" applyFill="1" applyBorder="1" applyAlignment="1">
      <x:alignment vertical="center" wrapText="1"/>
    </x:xf>
    <x:xf numFmtId="0" fontId="53" fillId="41" borderId="13" xfId="0" applyNumberFormat="1" applyFont="1" applyFill="1" applyBorder="1" applyAlignment="1">
      <x:alignment vertical="center" wrapText="1"/>
    </x:xf>
    <x:xf numFmtId="0" fontId="26" fillId="40" borderId="13" xfId="0" applyNumberFormat="1" applyFont="1" applyFill="1" applyBorder="1" applyAlignment="1">
      <x:alignment vertical="center" wrapText="1"/>
    </x:xf>
    <x:xf numFmtId="171" fontId="26" fillId="40" borderId="13" xfId="0" applyNumberFormat="1" applyFont="1" applyFill="1" applyBorder="1" applyAlignment="1">
      <x:alignment vertical="center" wrapText="1"/>
    </x:xf>
    <x:xf numFmtId="0" fontId="26" fillId="40" borderId="16" xfId="0" applyNumberFormat="1" applyFont="1" applyFill="1" applyBorder="1" applyAlignment="1">
      <x:alignment vertical="center" wrapText="1"/>
    </x:xf>
    <x:xf numFmtId="0" fontId="26" fillId="40" borderId="15" xfId="0" applyNumberFormat="1" applyFont="1" applyFill="1" applyBorder="1" applyAlignment="1">
      <x:alignment vertical="center" wrapText="1"/>
    </x:xf>
    <x:xf numFmtId="0" fontId="54" fillId="39" borderId="13" xfId="0" applyNumberFormat="1" applyFont="1" applyFill="1" applyBorder="1" applyAlignment="1">
      <x:alignment vertical="center" wrapText="1"/>
    </x:xf>
    <x:xf numFmtId="171" fontId="53" fillId="24" borderId="13" xfId="0" applyNumberFormat="1" applyFont="1" applyFill="1" applyBorder="1" applyAlignment="1">
      <x:alignment vertical="center" wrapText="1"/>
    </x:xf>
    <x:xf numFmtId="0" fontId="26" fillId="40" borderId="7" xfId="0" applyNumberFormat="1" applyFont="1" applyFill="1" applyBorder="1" applyAlignment="1">
      <x:alignment vertical="center" wrapText="1"/>
    </x:xf>
    <x:xf numFmtId="0" fontId="26" fillId="40" borderId="8" xfId="0" applyNumberFormat="1" applyFont="1" applyFill="1" applyBorder="1" applyAlignment="1">
      <x:alignment vertical="center" wrapText="1"/>
    </x:xf>
    <x:xf numFmtId="171" fontId="26" fillId="40" borderId="8" xfId="0" applyNumberFormat="1" applyFont="1" applyFill="1" applyBorder="1" applyAlignment="1">
      <x:alignment vertical="center" wrapText="1"/>
    </x:xf>
    <x:xf numFmtId="0" fontId="26" fillId="40" borderId="9" xfId="0" applyNumberFormat="1" applyFont="1" applyFill="1" applyBorder="1" applyAlignment="1">
      <x:alignment vertical="center" wrapText="1"/>
    </x:xf>
    <x:xf numFmtId="0" fontId="29" fillId="24" borderId="15" xfId="0" applyNumberFormat="1" applyFont="1" applyFill="1" applyBorder="1" applyAlignment="1">
      <x:alignment horizontal="center" vertical="center" wrapText="1"/>
    </x:xf>
    <x:xf numFmtId="0" fontId="29" fillId="24" borderId="13" xfId="0" applyNumberFormat="1" applyFont="1" applyFill="1" applyBorder="1" applyAlignment="1">
      <x:alignment horizontal="center" vertical="center" wrapText="1"/>
    </x:xf>
    <x:xf numFmtId="0" fontId="55" fillId="41" borderId="13" xfId="0" applyNumberFormat="1" applyFont="1" applyFill="1" applyBorder="1" applyAlignment="1">
      <x:alignment horizontal="center" vertical="center" wrapText="1"/>
    </x:xf>
    <x:xf numFmtId="0" fontId="29" fillId="40" borderId="15" xfId="0" applyNumberFormat="1" applyFont="1" applyFill="1" applyBorder="1" applyAlignment="1">
      <x:alignment horizontal="center" vertical="center" wrapText="1"/>
    </x:xf>
    <x:xf numFmtId="0" fontId="29" fillId="40" borderId="13" xfId="0" applyNumberFormat="1" applyFont="1" applyFill="1" applyBorder="1" applyAlignment="1">
      <x:alignment horizontal="center" vertical="center" wrapText="1"/>
    </x:xf>
    <x:xf numFmtId="0" fontId="56" fillId="37" borderId="13" xfId="0" applyNumberFormat="1" applyFont="1" applyFill="1" applyBorder="1" applyAlignment="1">
      <x:alignment horizontal="center" vertical="center" wrapText="1"/>
    </x:xf>
    <x:xf numFmtId="0" fontId="29" fillId="24" borderId="5" xfId="0" applyNumberFormat="1" applyFont="1" applyFill="1" applyBorder="1" applyAlignment="1">
      <x:alignment horizontal="center" vertical="center" wrapText="1"/>
    </x:xf>
    <x:xf numFmtId="0" fontId="29" fillId="24" borderId="0" xfId="0" applyNumberFormat="1" applyFont="1" applyFill="1" applyBorder="1" applyAlignment="1">
      <x:alignment horizontal="center" vertical="center" wrapText="1"/>
    </x:xf>
    <x:xf numFmtId="0" fontId="29" fillId="24" borderId="6" xfId="0" applyNumberFormat="1" applyFont="1" applyFill="1" applyBorder="1" applyAlignment="1">
      <x:alignment horizontal="center" vertical="center" wrapText="1"/>
    </x:xf>
    <x:xf numFmtId="0" fontId="29" fillId="40" borderId="5" xfId="0" applyNumberFormat="1" applyFont="1" applyFill="1" applyBorder="1" applyAlignment="1">
      <x:alignment horizontal="center" vertical="center" wrapText="1"/>
    </x:xf>
    <x:xf numFmtId="0" fontId="29" fillId="40" borderId="0" xfId="0" applyNumberFormat="1" applyFont="1" applyFill="1" applyBorder="1" applyAlignment="1">
      <x:alignment horizontal="center" vertical="center" wrapText="1"/>
    </x:xf>
    <x:xf numFmtId="0" fontId="29" fillId="40" borderId="6" xfId="0" applyNumberFormat="1" applyFont="1" applyFill="1" applyBorder="1" applyAlignment="1">
      <x:alignment horizontal="center" vertical="center" wrapText="1"/>
    </x:xf>
    <x:xf numFmtId="0" fontId="29" fillId="40" borderId="7" xfId="0" applyNumberFormat="1" applyFont="1" applyFill="1" applyBorder="1" applyAlignment="1">
      <x:alignment horizontal="center" vertical="center" wrapText="1"/>
    </x:xf>
    <x:xf numFmtId="0" fontId="29" fillId="40" borderId="8" xfId="0" applyNumberFormat="1" applyFont="1" applyFill="1" applyBorder="1" applyAlignment="1">
      <x:alignment horizontal="center" vertical="center" wrapText="1"/>
    </x:xf>
    <x:xf numFmtId="0" fontId="29" fillId="40" borderId="9" xfId="0" applyNumberFormat="1" applyFont="1" applyFill="1" applyBorder="1" applyAlignment="1">
      <x:alignment horizontal="center" vertical="center" wrapText="1"/>
    </x:xf>
    <x:xf numFmtId="0" fontId="18" fillId="33" borderId="5" xfId="0" applyNumberFormat="1" applyFont="1" applyFill="1" applyBorder="1" applyAlignment="1">
      <x:alignment horizontal="center" vertical="center" wrapText="1"/>
    </x:xf>
    <x:xf numFmtId="0" fontId="26" fillId="33" borderId="0" xfId="0" applyNumberFormat="1" applyFont="1" applyFill="1" applyBorder="1" applyAlignment="1">
      <x:alignment horizontal="center" vertical="center" wrapText="1"/>
    </x:xf>
    <x:xf numFmtId="0" fontId="18" fillId="33" borderId="15" xfId="0" applyNumberFormat="1" applyFont="1" applyFill="1" applyBorder="1" applyAlignment="1">
      <x:alignment horizontal="center" vertical="center" wrapText="1"/>
    </x:xf>
    <x:xf numFmtId="169" fontId="26" fillId="33" borderId="13" xfId="0" applyNumberFormat="1" applyFont="1" applyFill="1" applyBorder="1" applyAlignment="1">
      <x:alignment horizontal="center" vertical="center" wrapText="1"/>
    </x:xf>
    <x:xf numFmtId="201" fontId="0" fillId="24" borderId="0" xfId="0" applyNumberFormat="1" applyFont="1" applyFill="1" applyBorder="1"/>
    <x:xf numFmtId="202" fontId="0" fillId="24" borderId="0" xfId="0" applyNumberFormat="1" applyFont="1" applyFill="1" applyBorder="1"/>
    <x:xf numFmtId="0" fontId="58" fillId="24" borderId="0" xfId="0" applyNumberFormat="1" applyFont="1" applyFill="1" applyBorder="1"/>
    <x:xf numFmtId="201" fontId="58" fillId="24" borderId="0" xfId="0" applyNumberFormat="1" applyFont="1" applyFill="1" applyBorder="1"/>
    <x:xf numFmtId="202" fontId="58" fillId="24" borderId="0" xfId="0" applyNumberFormat="1" applyFont="1" applyFill="1" applyBorder="1"/>
    <x:xf numFmtId="0" fontId="58" fillId="24" borderId="38" xfId="0" applyNumberFormat="1" applyFont="1" applyFill="1" applyBorder="1"/>
    <x:xf numFmtId="201" fontId="58" fillId="24" borderId="38" xfId="0" applyNumberFormat="1" applyFont="1" applyFill="1" applyBorder="1"/>
    <x:xf numFmtId="202" fontId="58" fillId="24" borderId="38" xfId="0" applyNumberFormat="1" applyFont="1" applyFill="1" applyBorder="1"/>
    <x:xf numFmtId="0" fontId="58" fillId="24" borderId="38" xfId="0" applyNumberFormat="1" applyFont="1" applyFill="1" applyBorder="1" applyAlignment="1">
      <x:alignment wrapText="1"/>
    </x:xf>
    <x:xf numFmtId="201" fontId="58" fillId="24" borderId="38" xfId="0" applyNumberFormat="1" applyFont="1" applyFill="1" applyBorder="1" applyAlignment="1">
      <x:alignment wrapText="1"/>
    </x:xf>
    <x:xf numFmtId="202" fontId="58" fillId="24" borderId="38" xfId="0" applyNumberFormat="1" applyFont="1" applyFill="1" applyBorder="1" applyAlignment="1">
      <x:alignment wrapText="1"/>
    </x:xf>
    <x:xf numFmtId="0" fontId="58" fillId="24" borderId="38" xfId="0" applyNumberFormat="1" applyFont="1" applyFill="1" applyBorder="1" applyAlignment="1">
      <x:alignment vertical="center" wrapText="1"/>
    </x:xf>
    <x:xf numFmtId="201" fontId="58" fillId="24" borderId="38" xfId="0" applyNumberFormat="1" applyFont="1" applyFill="1" applyBorder="1" applyAlignment="1">
      <x:alignment vertical="center" wrapText="1"/>
    </x:xf>
    <x:xf numFmtId="202" fontId="58" fillId="24" borderId="38" xfId="0" applyNumberFormat="1" applyFont="1" applyFill="1" applyBorder="1" applyAlignment="1">
      <x:alignment vertical="center" wrapText="1"/>
    </x:xf>
    <x:xf numFmtId="0" fontId="6" fillId="24" borderId="38" xfId="0" applyNumberFormat="1" applyFont="1" applyFill="1" applyBorder="1" applyAlignment="1">
      <x:alignment vertical="center" wrapText="1"/>
    </x:xf>
    <x:xf numFmtId="203" fontId="0" fillId="24" borderId="0" xfId="0" applyNumberFormat="1" applyFont="1" applyFill="1" applyBorder="1"/>
    <x:xf numFmtId="203" fontId="58" fillId="24" borderId="0" xfId="0" applyNumberFormat="1" applyFont="1" applyFill="1" applyBorder="1"/>
    <x:xf numFmtId="203" fontId="58" fillId="24" borderId="38" xfId="0" applyNumberFormat="1" applyFont="1" applyFill="1" applyBorder="1"/>
    <x:xf numFmtId="203" fontId="58" fillId="24" borderId="38" xfId="0" applyNumberFormat="1" applyFont="1" applyFill="1" applyBorder="1" applyAlignment="1">
      <x:alignment wrapText="1"/>
    </x:xf>
    <x:xf numFmtId="203" fontId="58" fillId="24" borderId="38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60" fillId="21" borderId="0" xfId="0" applyNumberFormat="1" applyFont="1" applyFill="1" applyBorder="1"/>
    <x:xf numFmtId="0" fontId="61" fillId="21" borderId="0" xfId="0" applyNumberFormat="1" applyFont="1" applyFill="1" applyBorder="1"/>
    <x:xf numFmtId="0" fontId="61" fillId="21" borderId="10" xfId="0" applyNumberFormat="1" applyFont="1" applyFill="1" applyBorder="1"/>
    <x:xf numFmtId="0" fontId="61" fillId="21" borderId="11" xfId="0" applyNumberFormat="1" applyFont="1" applyFill="1" applyBorder="1"/>
    <x:xf numFmtId="0" fontId="61" fillId="21" borderId="12" xfId="0" applyNumberFormat="1" applyFont="1" applyFill="1" applyBorder="1"/>
    <x:xf numFmtId="0" fontId="0" fillId="24" borderId="2" xfId="0" applyNumberFormat="1" applyFont="1" applyFill="1" applyBorder="1"/>
    <x:xf numFmtId="0" fontId="0" fillId="24" borderId="3" xfId="0" applyNumberFormat="1" applyFont="1" applyFill="1" applyBorder="1"/>
    <x:xf numFmtId="0" fontId="0" fillId="24" borderId="4" xfId="0" applyNumberFormat="1" applyFont="1" applyFill="1" applyBorder="1"/>
    <x:xf numFmtId="0" fontId="0" fillId="24" borderId="5" xfId="0" applyNumberFormat="1" applyFont="1" applyFill="1" applyBorder="1"/>
    <x:xf numFmtId="0" fontId="0" fillId="24" borderId="6" xfId="0" applyNumberFormat="1" applyFont="1" applyFill="1" applyBorder="1"/>
    <x:xf numFmtId="0" fontId="0" fillId="24" borderId="7" xfId="0" applyNumberFormat="1" applyFont="1" applyFill="1" applyBorder="1"/>
    <x:xf numFmtId="0" fontId="0" fillId="24" borderId="8" xfId="0" applyNumberFormat="1" applyFont="1" applyFill="1" applyBorder="1"/>
    <x:xf numFmtId="0" fontId="0" fillId="24" borderId="9" xfId="0" applyNumberFormat="1" applyFont="1" applyFill="1" applyBorder="1"/>
    <x:xf numFmtId="0" fontId="0" fillId="24" borderId="2" xfId="0" applyNumberFormat="1" applyFont="1" applyFill="1" applyBorder="1" applyAlignment="1">
      <x:alignment wrapText="1"/>
    </x:xf>
    <x:xf numFmtId="0" fontId="0" fillId="24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5" xfId="0" applyNumberFormat="1" applyFont="1" applyFill="1" applyBorder="1" applyAlignment="1">
      <x:alignment wrapText="1"/>
    </x:xf>
    <x:xf numFmtId="0" fontId="0" fillId="24" borderId="6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0" fillId="24" borderId="8" xfId="0" applyNumberFormat="1" applyFont="1" applyFill="1" applyBorder="1" applyAlignment="1">
      <x:alignment wrapText="1"/>
    </x:xf>
    <x:xf numFmtId="0" fontId="0" fillId="24" borderId="9" xfId="0" applyNumberFormat="1" applyFont="1" applyFill="1" applyBorder="1" applyAlignment="1">
      <x:alignment wrapText="1"/>
    </x:xf>
    <x:xf numFmtId="0" fontId="0" fillId="24" borderId="2" xfId="0" applyNumberFormat="1" applyFont="1" applyFill="1" applyBorder="1" applyAlignment="1">
      <x:alignment horizontal="center" wrapText="1"/>
    </x:xf>
    <x:xf numFmtId="0" fontId="0" fillId="24" borderId="3" xfId="0" applyNumberFormat="1" applyFont="1" applyFill="1" applyBorder="1" applyAlignment="1">
      <x:alignment horizontal="center" wrapText="1"/>
    </x:xf>
    <x:xf numFmtId="0" fontId="0" fillId="24" borderId="4" xfId="0" applyNumberFormat="1" applyFont="1" applyFill="1" applyBorder="1" applyAlignment="1">
      <x:alignment horizontal="center" wrapText="1"/>
    </x:xf>
    <x:xf numFmtId="0" fontId="0" fillId="24" borderId="5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 applyAlignment="1">
      <x:alignment horizontal="center" wrapText="1"/>
    </x:xf>
    <x:xf numFmtId="0" fontId="0" fillId="24" borderId="6" xfId="0" applyNumberFormat="1" applyFont="1" applyFill="1" applyBorder="1" applyAlignment="1">
      <x:alignment horizontal="center" wrapText="1"/>
    </x:xf>
    <x:xf numFmtId="0" fontId="0" fillId="24" borderId="7" xfId="0" applyNumberFormat="1" applyFont="1" applyFill="1" applyBorder="1" applyAlignment="1">
      <x:alignment horizontal="center" wrapText="1"/>
    </x:xf>
    <x:xf numFmtId="0" fontId="0" fillId="24" borderId="8" xfId="0" applyNumberFormat="1" applyFont="1" applyFill="1" applyBorder="1" applyAlignment="1">
      <x:alignment horizontal="center" wrapText="1"/>
    </x:xf>
    <x:xf numFmtId="0" fontId="0" fillId="24" borderId="9" xfId="0" applyNumberFormat="1" applyFont="1" applyFill="1" applyBorder="1" applyAlignment="1">
      <x:alignment horizontal="center" wrapText="1"/>
    </x:xf>
    <x:xf numFmtId="0" fontId="0" fillId="24" borderId="2" xfId="0" applyNumberFormat="1" applyFont="1" applyFill="1" applyBorder="1" applyAlignment="1">
      <x:alignment horizontal="center" vertical="center" wrapText="1"/>
    </x:xf>
    <x:xf numFmtId="0" fontId="0" fillId="24" borderId="3" xfId="0" applyNumberFormat="1" applyFont="1" applyFill="1" applyBorder="1" applyAlignment="1">
      <x:alignment horizontal="center" vertical="center" wrapText="1"/>
    </x:xf>
    <x:xf numFmtId="0" fontId="0" fillId="24" borderId="4" xfId="0" applyNumberFormat="1" applyFont="1" applyFill="1" applyBorder="1" applyAlignment="1">
      <x:alignment horizontal="center" vertical="center" wrapText="1"/>
    </x:xf>
    <x:xf numFmtId="0" fontId="0" fillId="24" borderId="5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horizontal="center" vertical="center" wrapText="1"/>
    </x:xf>
    <x:xf numFmtId="0" fontId="0" fillId="24" borderId="6" xfId="0" applyNumberFormat="1" applyFont="1" applyFill="1" applyBorder="1" applyAlignment="1">
      <x:alignment horizontal="center" vertical="center" wrapText="1"/>
    </x:xf>
    <x:xf numFmtId="0" fontId="0" fillId="24" borderId="7" xfId="0" applyNumberFormat="1" applyFont="1" applyFill="1" applyBorder="1" applyAlignment="1">
      <x:alignment horizontal="center" vertical="center" wrapText="1"/>
    </x:xf>
    <x:xf numFmtId="0" fontId="0" fillId="24" borderId="8" xfId="0" applyNumberFormat="1" applyFont="1" applyFill="1" applyBorder="1" applyAlignment="1">
      <x:alignment horizontal="center" vertical="center" wrapText="1"/>
    </x:xf>
    <x:xf numFmtId="0" fontId="0" fillId="24" borderId="9" xfId="0" applyNumberFormat="1" applyFont="1" applyFill="1" applyBorder="1" applyAlignment="1">
      <x:alignment horizontal="center" vertical="center" wrapText="1"/>
    </x:xf>
    <x:xf numFmtId="0" fontId="62" fillId="24" borderId="2" xfId="0" applyNumberFormat="1" applyFont="1" applyFill="1" applyBorder="1" applyAlignment="1">
      <x:alignment horizontal="center" vertical="center" wrapText="1"/>
    </x:xf>
    <x:xf numFmtId="0" fontId="63" fillId="24" borderId="5" xfId="0" applyNumberFormat="1" applyFont="1" applyFill="1" applyBorder="1" applyAlignment="1">
      <x:alignment horizontal="center" vertical="center" wrapText="1"/>
    </x:xf>
    <x:xf numFmtId="201" fontId="63" fillId="24" borderId="5" xfId="0" applyNumberFormat="1" applyFont="1" applyFill="1" applyBorder="1" applyAlignment="1">
      <x:alignment horizontal="center" vertical="center" wrapText="1"/>
    </x:xf>
    <x:xf numFmtId="0" fontId="64" fillId="24" borderId="7" xfId="0" applyNumberFormat="1" applyFont="1" applyFill="1" applyBorder="1" applyAlignment="1">
      <x:alignment horizontal="center" vertical="center" wrapText="1"/>
    </x:xf>
    <x:xf numFmtId="165" fontId="63" fillId="24" borderId="5" xfId="0" applyNumberFormat="1" applyFont="1" applyFill="1" applyBorder="1" applyAlignment="1">
      <x:alignment horizontal="center" vertical="center" wrapText="1"/>
    </x:xf>
    <x:xf numFmtId="203" fontId="63" fillId="24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5" fillId="4" borderId="0" xfId="0" applyNumberFormat="1" applyFont="1" applyFill="1" applyBorder="1"/>
    <x:xf numFmtId="0" fontId="65" fillId="4" borderId="0" xfId="0" applyNumberFormat="1" applyFont="1" applyFill="1" applyBorder="1" applyAlignment="1">
      <x:alignment horizontal="center"/>
    </x:xf>
    <x:xf numFmtId="0" fontId="69" fillId="21" borderId="2" xfId="0" applyNumberFormat="1" applyFont="1" applyFill="1" applyBorder="1" applyAlignment="1">
      <x:alignment horizontal="center" vertical="center" wrapText="1"/>
    </x:xf>
    <x:xf numFmtId="0" fontId="70" fillId="21" borderId="5" xfId="0" applyNumberFormat="1" applyFont="1" applyFill="1" applyBorder="1" applyAlignment="1">
      <x:alignment wrapText="1"/>
    </x:xf>
    <x:xf numFmtId="0" fontId="70" fillId="21" borderId="7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61" fillId="50" borderId="0" xfId="0" applyNumberFormat="1" applyFont="1" applyFill="1" applyBorder="1"/>
    <x:xf numFmtId="0" fontId="61" fillId="50" borderId="10" xfId="0" applyNumberFormat="1" applyFont="1" applyFill="1" applyBorder="1"/>
    <x:xf numFmtId="0" fontId="61" fillId="50" borderId="11" xfId="0" applyNumberFormat="1" applyFont="1" applyFill="1" applyBorder="1"/>
    <x:xf numFmtId="0" fontId="61" fillId="50" borderId="12" xfId="0" applyNumberFormat="1" applyFont="1" applyFill="1" applyBorder="1"/>
    <x:xf numFmtId="0" fontId="0" fillId="51" borderId="0" xfId="0" applyNumberFormat="1" applyFont="1" applyFill="1" applyBorder="1"/>
    <x:xf numFmtId="0" fontId="0" fillId="51" borderId="2" xfId="0" applyNumberFormat="1" applyFont="1" applyFill="1" applyBorder="1"/>
    <x:xf numFmtId="0" fontId="0" fillId="51" borderId="3" xfId="0" applyNumberFormat="1" applyFont="1" applyFill="1" applyBorder="1"/>
    <x:xf numFmtId="0" fontId="0" fillId="51" borderId="4" xfId="0" applyNumberFormat="1" applyFont="1" applyFill="1" applyBorder="1"/>
    <x:xf numFmtId="0" fontId="0" fillId="51" borderId="5" xfId="0" applyNumberFormat="1" applyFont="1" applyFill="1" applyBorder="1"/>
    <x:xf numFmtId="0" fontId="0" fillId="51" xfId="0" applyNumberFormat="1" applyFont="1" applyFill="1" applyBorder="0"/>
    <x:xf numFmtId="0" fontId="0" fillId="51" borderId="6" xfId="0" applyNumberFormat="1" applyFont="1" applyFill="1" applyBorder="1"/>
    <x:xf numFmtId="0" fontId="0" fillId="51" borderId="7" xfId="0" applyNumberFormat="1" applyFont="1" applyFill="1" applyBorder="1"/>
    <x:xf numFmtId="0" fontId="0" fillId="51" borderId="8" xfId="0" applyNumberFormat="1" applyFont="1" applyFill="1" applyBorder="1"/>
    <x:xf numFmtId="0" fontId="0" fillId="51" borderId="9" xfId="0" applyNumberFormat="1" applyFont="1" applyFill="1" applyBorder="1"/>
    <x:xf numFmtId="0" fontId="0" fillId="51" borderId="2" xfId="0" applyNumberFormat="1" applyFont="1" applyFill="1" applyBorder="1" applyAlignment="1">
      <x:alignment wrapText="1"/>
    </x:xf>
    <x:xf numFmtId="0" fontId="0" fillId="51" borderId="3" xfId="0" applyNumberFormat="1" applyFont="1" applyFill="1" applyBorder="1" applyAlignment="1">
      <x:alignment wrapText="1"/>
    </x:xf>
    <x:xf numFmtId="0" fontId="0" fillId="51" borderId="4" xfId="0" applyNumberFormat="1" applyFont="1" applyFill="1" applyBorder="1" applyAlignment="1">
      <x:alignment wrapText="1"/>
    </x:xf>
    <x:xf numFmtId="0" fontId="0" fillId="51" borderId="5" xfId="0" applyNumberFormat="1" applyFont="1" applyFill="1" applyBorder="1" applyAlignment="1">
      <x:alignment wrapText="1"/>
    </x:xf>
    <x:xf numFmtId="0" fontId="0" fillId="51" xfId="0" applyNumberFormat="1" applyFont="1" applyFill="1" applyBorder="0" applyAlignment="1">
      <x:alignment wrapText="1"/>
    </x:xf>
    <x:xf numFmtId="0" fontId="0" fillId="51" borderId="6" xfId="0" applyNumberFormat="1" applyFont="1" applyFill="1" applyBorder="1" applyAlignment="1">
      <x:alignment wrapText="1"/>
    </x:xf>
    <x:xf numFmtId="0" fontId="0" fillId="51" borderId="7" xfId="0" applyNumberFormat="1" applyFont="1" applyFill="1" applyBorder="1" applyAlignment="1">
      <x:alignment wrapText="1"/>
    </x:xf>
    <x:xf numFmtId="0" fontId="0" fillId="51" borderId="8" xfId="0" applyNumberFormat="1" applyFont="1" applyFill="1" applyBorder="1" applyAlignment="1">
      <x:alignment wrapText="1"/>
    </x:xf>
    <x:xf numFmtId="0" fontId="0" fillId="51" borderId="9" xfId="0" applyNumberFormat="1" applyFont="1" applyFill="1" applyBorder="1" applyAlignment="1">
      <x:alignment wrapText="1"/>
    </x:xf>
    <x:xf numFmtId="0" fontId="0" fillId="51" borderId="2" xfId="0" applyNumberFormat="1" applyFont="1" applyFill="1" applyBorder="1" applyAlignment="1">
      <x:alignment horizontal="center" wrapText="1"/>
    </x:xf>
    <x:xf numFmtId="0" fontId="0" fillId="51" borderId="3" xfId="0" applyNumberFormat="1" applyFont="1" applyFill="1" applyBorder="1" applyAlignment="1">
      <x:alignment horizontal="center" wrapText="1"/>
    </x:xf>
    <x:xf numFmtId="0" fontId="0" fillId="51" borderId="4" xfId="0" applyNumberFormat="1" applyFont="1" applyFill="1" applyBorder="1" applyAlignment="1">
      <x:alignment horizontal="center" wrapText="1"/>
    </x:xf>
    <x:xf numFmtId="0" fontId="0" fillId="51" borderId="5" xfId="0" applyNumberFormat="1" applyFont="1" applyFill="1" applyBorder="1" applyAlignment="1">
      <x:alignment horizontal="center" wrapText="1"/>
    </x:xf>
    <x:xf numFmtId="0" fontId="0" fillId="51" xfId="0" applyNumberFormat="1" applyFont="1" applyFill="1" applyBorder="0" applyAlignment="1">
      <x:alignment horizontal="center" wrapText="1"/>
    </x:xf>
    <x:xf numFmtId="0" fontId="0" fillId="51" borderId="6" xfId="0" applyNumberFormat="1" applyFont="1" applyFill="1" applyBorder="1" applyAlignment="1">
      <x:alignment horizontal="center" wrapText="1"/>
    </x:xf>
    <x:xf numFmtId="0" fontId="0" fillId="51" borderId="7" xfId="0" applyNumberFormat="1" applyFont="1" applyFill="1" applyBorder="1" applyAlignment="1">
      <x:alignment horizontal="center" wrapText="1"/>
    </x:xf>
    <x:xf numFmtId="0" fontId="0" fillId="51" borderId="8" xfId="0" applyNumberFormat="1" applyFont="1" applyFill="1" applyBorder="1" applyAlignment="1">
      <x:alignment horizontal="center" wrapText="1"/>
    </x:xf>
    <x:xf numFmtId="0" fontId="0" fillId="51" borderId="9" xfId="0" applyNumberFormat="1" applyFont="1" applyFill="1" applyBorder="1" applyAlignment="1">
      <x:alignment horizontal="center" wrapText="1"/>
    </x:xf>
    <x:xf numFmtId="0" fontId="0" fillId="51" borderId="2" xfId="0" applyNumberFormat="1" applyFont="1" applyFill="1" applyBorder="1" applyAlignment="1">
      <x:alignment horizontal="center" vertical="center" wrapText="1"/>
    </x:xf>
    <x:xf numFmtId="0" fontId="0" fillId="51" borderId="3" xfId="0" applyNumberFormat="1" applyFont="1" applyFill="1" applyBorder="1" applyAlignment="1">
      <x:alignment horizontal="center" vertical="center" wrapText="1"/>
    </x:xf>
    <x:xf numFmtId="0" fontId="0" fillId="51" borderId="4" xfId="0" applyNumberFormat="1" applyFont="1" applyFill="1" applyBorder="1" applyAlignment="1">
      <x:alignment horizontal="center" vertical="center" wrapText="1"/>
    </x:xf>
    <x:xf numFmtId="0" fontId="0" fillId="51" borderId="5" xfId="0" applyNumberFormat="1" applyFont="1" applyFill="1" applyBorder="1" applyAlignment="1">
      <x:alignment horizontal="center" vertical="center" wrapText="1"/>
    </x:xf>
    <x:xf numFmtId="0" fontId="0" fillId="51" xfId="0" applyNumberFormat="1" applyFont="1" applyFill="1" applyBorder="0" applyAlignment="1">
      <x:alignment horizontal="center" vertical="center" wrapText="1"/>
    </x:xf>
    <x:xf numFmtId="0" fontId="0" fillId="51" borderId="6" xfId="0" applyNumberFormat="1" applyFont="1" applyFill="1" applyBorder="1" applyAlignment="1">
      <x:alignment horizontal="center" vertical="center" wrapText="1"/>
    </x:xf>
    <x:xf numFmtId="0" fontId="0" fillId="51" borderId="7" xfId="0" applyNumberFormat="1" applyFont="1" applyFill="1" applyBorder="1" applyAlignment="1">
      <x:alignment horizontal="center" vertical="center" wrapText="1"/>
    </x:xf>
    <x:xf numFmtId="0" fontId="0" fillId="51" borderId="8" xfId="0" applyNumberFormat="1" applyFont="1" applyFill="1" applyBorder="1" applyAlignment="1">
      <x:alignment horizontal="center" vertical="center" wrapText="1"/>
    </x:xf>
    <x:xf numFmtId="0" fontId="0" fillId="51" borderId="9" xfId="0" applyNumberFormat="1" applyFont="1" applyFill="1" applyBorder="1" applyAlignment="1">
      <x:alignment horizontal="center" vertical="center" wrapText="1"/>
    </x:xf>
    <x:xf numFmtId="0" fontId="62" fillId="51" borderId="2" xfId="0" applyNumberFormat="1" applyFont="1" applyFill="1" applyBorder="1" applyAlignment="1">
      <x:alignment horizontal="center" vertical="center" wrapText="1"/>
    </x:xf>
    <x:xf numFmtId="0" fontId="63" fillId="51" borderId="5" xfId="0" applyNumberFormat="1" applyFont="1" applyFill="1" applyBorder="1" applyAlignment="1">
      <x:alignment horizontal="center" vertical="center" wrapText="1"/>
    </x:xf>
    <x:xf numFmtId="201" fontId="63" fillId="51" borderId="5" xfId="0" applyNumberFormat="1" applyFont="1" applyFill="1" applyBorder="1" applyAlignment="1">
      <x:alignment horizontal="center" vertical="center" wrapText="1"/>
    </x:xf>
    <x:xf numFmtId="0" fontId="64" fillId="51" borderId="7" xfId="0" applyNumberFormat="1" applyFont="1" applyFill="1" applyBorder="1" applyAlignment="1">
      <x:alignment horizontal="center" vertical="center" wrapText="1"/>
    </x:xf>
    <x:xf numFmtId="165" fontId="63" fillId="51" borderId="5" xfId="0" applyNumberFormat="1" applyFont="1" applyFill="1" applyBorder="1" applyAlignment="1">
      <x:alignment horizontal="center" vertical="center" wrapText="1"/>
    </x:xf>
    <x:xf numFmtId="203" fontId="63" fillId="51" borderId="5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65" fillId="52" borderId="0" xfId="0" applyNumberFormat="1" applyFont="1" applyFill="1" applyBorder="1"/>
    <x:xf numFmtId="0" fontId="65" fillId="52" borderId="0" xfId="0" applyNumberFormat="1" applyFont="1" applyFill="1" applyBorder="1" applyAlignment="1">
      <x:alignment horizontal="center"/>
    </x:xf>
    <x:xf numFmtId="0" fontId="0" fillId="53" borderId="0" xfId="0" applyNumberFormat="1" applyFont="1" applyFill="1" applyBorder="1"/>
    <x:xf numFmtId="0" fontId="66" fillId="53" borderId="0" xfId="0" applyNumberFormat="1" applyFont="1" applyFill="1" applyBorder="1"/>
    <x:xf numFmtId="0" fontId="66" fillId="53" borderId="0" xfId="0" applyNumberFormat="1" applyFont="1" applyFill="1" applyBorder="1" applyAlignment="1">
      <x:alignment horizontal="center"/>
    </x:xf>
    <x:xf numFmtId="202" fontId="66" fillId="53" borderId="0" xfId="0" applyNumberFormat="1" applyFont="1" applyFill="1" applyBorder="1" applyAlignment="1">
      <x:alignment horizontal="center"/>
    </x:xf>
    <x:xf numFmtId="200" fontId="66" fillId="53" borderId="0" xfId="0" applyNumberFormat="1" applyFont="1" applyFill="1" applyBorder="1" applyAlignment="1">
      <x:alignment horizontal="center"/>
    </x:xf>
    <x:xf numFmtId="201" fontId="66" fillId="53" borderId="0" xfId="0" applyNumberFormat="1" applyFont="1" applyFill="1" applyBorder="1" applyAlignment="1">
      <x:alignment horizontal="center"/>
    </x:xf>
    <x:xf numFmtId="204" fontId="66" fillId="53" borderId="0" xfId="0" applyNumberFormat="1" applyFont="1" applyFill="1" applyBorder="1" applyAlignment="1">
      <x:alignment horizontal="center"/>
    </x:xf>
    <x:xf numFmtId="203" fontId="66" fillId="53" borderId="0" xfId="0" applyNumberFormat="1" applyFont="1" applyFill="1" applyBorder="1" applyAlignment="1">
      <x:alignment horizontal="center"/>
    </x:xf>
    <x:xf numFmtId="205" fontId="66" fillId="53" borderId="0" xfId="0" applyNumberFormat="1" applyFont="1" applyFill="1" applyBorder="1" applyAlignment="1">
      <x:alignment horizontal="center"/>
    </x:xf>
    <x:xf numFmtId="0" fontId="0" fillId="54" borderId="0" xfId="0" applyNumberFormat="1" applyFont="1" applyFill="1" applyBorder="1"/>
    <x:xf numFmtId="0" fontId="67" fillId="54" borderId="0" xfId="0" applyNumberFormat="1" applyFont="1" applyFill="1" applyBorder="1"/>
    <x:xf numFmtId="0" fontId="67" fillId="54" borderId="0" xfId="0" applyNumberFormat="1" applyFont="1" applyFill="1" applyBorder="1" applyAlignment="1">
      <x:alignment wrapText="1"/>
    </x:xf>
    <x:xf numFmtId="0" fontId="67" fillId="54" borderId="0" xfId="0" applyNumberFormat="1" applyFont="1" applyFill="1" applyBorder="1" applyAlignment="1">
      <x:alignment vertical="center" wrapText="1"/>
    </x:xf>
    <x:xf numFmtId="0" fontId="60" fillId="50" borderId="0" xfId="0" applyNumberFormat="1" applyFont="1" applyFill="1" applyBorder="1"/>
    <x:xf numFmtId="0" fontId="68" fillId="53" borderId="0" xfId="0" applyNumberFormat="1" applyFont="1" applyFill="1" applyBorder="1"/>
    <x:xf numFmtId="0" fontId="68" fillId="53" borderId="0" xfId="0" applyNumberFormat="1" applyFont="1" applyFill="1" applyBorder="1" applyAlignment="1">
      <x:alignment wrapText="1"/>
    </x:xf>
    <x:xf numFmtId="0" fontId="68" fillId="53" borderId="0" xfId="0" applyNumberFormat="1" applyFont="1" applyFill="1" applyBorder="1" applyAlignment="1">
      <x:alignment vertical="center" wrapText="1"/>
    </x:xf>
    <x:xf numFmtId="0" fontId="0" fillId="24" xfId="0" applyNumberFormat="1" applyFont="1" applyFill="1" applyBorder="0"/>
    <x:xf numFmtId="0" fontId="0" fillId="24" xfId="0" applyNumberFormat="1" applyFont="1" applyFill="1" applyBorder="0" applyAlignment="1">
      <x:alignment wrapText="1"/>
    </x:xf>
    <x:xf numFmtId="0" fontId="0" fillId="24" xfId="0" applyNumberFormat="1" applyFont="1" applyFill="1" applyBorder="0" applyAlignment="1">
      <x:alignment horizontal="center" wrapText="1"/>
    </x:xf>
    <x:xf numFmtId="0" fontId="0" fillId="24" xfId="0" applyNumberFormat="1" applyFont="1" applyFill="1" applyBorder="0" applyAlignment="1">
      <x:alignment horizontal="center" vertical="center" wrapText="1"/>
    </x:xf>
    <x:xf numFmtId="204" fontId="66" fillId="47" borderId="0" xfId="0" applyNumberFormat="1" applyFont="1" applyFill="1" applyBorder="1" applyAlignment="1">
      <x:alignment horizontal="center"/>
    </x:xf>
    <x:xf numFmtId="205" fontId="66" fillId="47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6" fillId="55" borderId="0" xfId="0" applyNumberFormat="1" applyFont="1" applyFill="1" applyBorder="1" applyAlignment="1">
      <x:alignment wrapText="1"/>
    </x:xf>
  </x:cellXfs>
  <x:cellStyles count="2">
    <x:cellStyle name="Hyperlink" xfId="1"/>
    <x:cellStyle name="Normal" xfId="0"/>
  </x:cellStyles>
  <x:dxfs count="7">
    <x:dxf>
      <x:font>
        <x:i/>
        <x:color rgb="FF475569"/>
      </x:font>
      <x:fill>
        <x:patternFill>
          <x:bgColor rgb="FFE5E7EB"/>
        </x:patternFill>
      </x:fill>
    </x:dxf>
    <x:dxf>
      <x:font>
        <x:b/>
        <x:color rgb="FF7C4A03"/>
      </x:font>
      <x:fill>
        <x:patternFill>
          <x:bgColor rgb="FFFFF2CC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f35c296f74f78" /><Relationship Type="http://schemas.openxmlformats.org/officeDocument/2006/relationships/theme" Target="/xl/theme/theme1.xml" Id="R217580aea09e49f9" /><Relationship Type="http://schemas.openxmlformats.org/officeDocument/2006/relationships/sharedStrings" Target="/xl/sharedStrings.xml" Id="R616c7ae9ef314482" /><Relationship Type="http://schemas.openxmlformats.org/officeDocument/2006/relationships/worksheet" Target="/xl/worksheets/sheet1.xml" Id="Rf641c8ef5fcb45fc" /><Relationship Type="http://schemas.openxmlformats.org/officeDocument/2006/relationships/worksheet" Target="/xl/worksheets/sheet2.xml" Id="R50495308d09f447a" /><Relationship Type="http://schemas.openxmlformats.org/officeDocument/2006/relationships/worksheet" Target="/xl/worksheets/sheet3.xml" Id="R44b241fcc6bc4f93" /><Relationship Type="http://schemas.openxmlformats.org/officeDocument/2006/relationships/worksheet" Target="/xl/worksheets/sheet4.xml" Id="R428be0dac52e4c51" /><Relationship Type="http://schemas.openxmlformats.org/officeDocument/2006/relationships/worksheet" Target="/xl/worksheets/sheet5.xml" Id="R1d45f8aa105d4652" /><Relationship Type="http://schemas.openxmlformats.org/officeDocument/2006/relationships/worksheet" Target="/xl/worksheets/sheet6.xml" Id="Ra7dfdcc9214749fe" /><Relationship Type="http://schemas.openxmlformats.org/officeDocument/2006/relationships/worksheet" Target="/xl/worksheets/sheet7.xml" Id="R742ecdbaaccf41e7" /><Relationship Type="http://schemas.openxmlformats.org/officeDocument/2006/relationships/worksheet" Target="/xl/worksheets/sheet8.xml" Id="Rcd0f3dd31767435d" /><Relationship Type="http://schemas.openxmlformats.org/officeDocument/2006/relationships/worksheet" Target="/xl/worksheets/sheet9.xml" Id="R46cf3d43e5ab4d16" /><Relationship Type="http://schemas.openxmlformats.org/officeDocument/2006/relationships/worksheet" Target="/xl/worksheets/sheet10.xml" Id="Ree7c4b62833d4a43" /><Relationship Type="http://schemas.openxmlformats.org/officeDocument/2006/relationships/worksheet" Target="/xl/worksheets/sheet11.xml" Id="R787f343971774c94" /><Relationship Type="http://schemas.openxmlformats.org/officeDocument/2006/relationships/worksheet" Target="/xl/worksheets/sheet12.xml" Id="Re43f59087f924f10" /><Relationship Type="http://schemas.openxmlformats.org/officeDocument/2006/relationships/worksheet" Target="/xl/worksheets/sheet13.xml" Id="Rfdbc7c01a0fe40be" /><Relationship Type="http://schemas.openxmlformats.org/officeDocument/2006/relationships/worksheet" Target="/xl/worksheets/sheet14.xml" Id="R03d744c5f5bc4456" /><Relationship Type="http://schemas.openxmlformats.org/officeDocument/2006/relationships/worksheet" Target="/xl/worksheets/sheet15.xml" Id="Re2c5a709dea54c02" /><Relationship Type="http://schemas.openxmlformats.org/officeDocument/2006/relationships/worksheet" Target="/xl/worksheets/sheet16.xml" Id="R923f9a79da5344c6" /><Relationship Type="http://schemas.openxmlformats.org/officeDocument/2006/relationships/worksheet" Target="/xl/worksheets/sheet17.xml" Id="Rf7be5653e8f64e57" /><Relationship Type="http://schemas.openxmlformats.org/officeDocument/2006/relationships/worksheet" Target="/xl/worksheets/sheet18.xml" Id="Rb63f7cb70eb84ca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f3db6e14614f29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Billed Amount Trend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Billed</c:v>
          </c:tx>
          <c:marker>
            <c:symbol val="none"/>
          </c:marker>
          <c:cat>
            <c:numRef>
              <c:f>'Tax Intelligence Report'!$N$2:$N$7</c:f>
              <c:numCache>
                <c:formatCode>General</c:formatCode>
                <c:ptCount val="6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numCache>
            </c:numRef>
          </c:cat>
          <c:val>
            <c:numRef>
              <c:f>'Tax Intelligence Report'!$O$2:$O$7</c:f>
              <c:numCache>
                <c:formatCode>General</c:formatCode>
                <c:ptCount val="6"/>
                <c:pt idx="0">
                  <c:v>4191.45</c:v>
                </c:pt>
                <c:pt idx="1">
                  <c:v>4133.69</c:v>
                </c:pt>
                <c:pt idx="2">
                  <c:v>4001.95</c:v>
                </c:pt>
                <c:pt idx="3">
                  <c:v>5019.91</c:v>
                </c:pt>
                <c:pt idx="4">
                  <c:v>4957.19</c:v>
                </c:pt>
                <c:pt idx="5">
                  <c:v>6186.55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5</xdr:row>
      <xdr:rowOff>0</xdr:rowOff>
    </xdr:from>
    <xdr:to>
      <xdr:col>4</xdr:col>
      <xdr:colOff>0</xdr:colOff>
      <xdr:row>7</xdr:row>
      <xdr:rowOff>0</xdr:rowOff>
    </xdr:to>
    <xdr:sp>
      <xdr:nvSpPr>
        <xdr:cNvPr id="1" name="btnRunPropertyResearc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28800" y="1206500"/>
          <a:ext cx="5029200" cy="3683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17324D"/>
        </a:solidFill>
        <a:ln xmlns:a="http://schemas.openxmlformats.org/drawingml/2006/main">
          <a:solidFill>
            <a:srgbClr val="17324D"/>
          </a:solidFill>
        </a:ln>
      </xdr:spPr>
      <x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100" b="1">
              <a:solidFill>
                <a:srgbClr val="FFFFFF"/>
              </a:solidFill>
            </a:rPr>
            <a:t>RUN PROPERTY RESEARCH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0</xdr:colOff>
      <xdr:row>75</xdr:row>
      <xdr:rowOff>0</xdr:rowOff>
    </xdr:from>
    <xdr:to>
      <xdr:col>8</xdr:col>
      <xdr:colOff>0</xdr:colOff>
      <xdr:row>77</xdr:row>
      <xdr:rowOff>0</xdr:rowOff>
    </xdr:to>
    <xdr:sp>
      <xdr:nvSpPr>
        <xdr:cNvPr id="1" name="btnTreasurerBrowserLookup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01250" y="18335625"/>
          <a:ext cx="5086350" cy="3429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166534"/>
        </a:solidFill>
        <a:ln xmlns:a="http://schemas.openxmlformats.org/drawingml/2006/main">
          <a:solidFill>
            <a:srgbClr val="166534"/>
          </a:solidFill>
        </a:ln>
      </xdr:spPr>
      <x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100" b="1">
              <a:solidFill>
                <a:srgbClr val="FFFFFF"/>
              </a:solidFill>
            </a:rPr>
            <a:t>OPEN TREASURER SEARCH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f3db6e14614f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ee3f0072774c0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https://www.cookcountytreasurer.com/setsearchparameters.aspx" TargetMode="External" Id="R3440c443ea514f2b" /><Relationship Type="http://schemas.openxmlformats.org/officeDocument/2006/relationships/hyperlink" Target="https://www.cookcountytreasurer.com/taxbillhistoryresults.aspx" TargetMode="External" Id="R62f5b1b1def14c57" /><Relationship Type="http://schemas.openxmlformats.org/officeDocument/2006/relationships/hyperlink" Target="https://www.cookcountytreasurer.com/taxingdistrictsresults.aspx" TargetMode="External" Id="R02cd3def5c3447e0" /><Relationship Type="http://schemas.openxmlformats.org/officeDocument/2006/relationships/hyperlink" Target="https://www.cookcountytreasurer.com/" TargetMode="External" Id="R04556c5b89d24871" /><Relationship Type="http://schemas.openxmlformats.org/officeDocument/2006/relationships/hyperlink" Target="https://www.cookcountytreasurer.com/" TargetMode="External" Id="Rce1f3f08263d4c41" /><Relationship Type="http://schemas.openxmlformats.org/officeDocument/2006/relationships/hyperlink" Target="https://www.cookcountytreasurer.com/" TargetMode="External" Id="R5120c90b11ef4ad4" /><Relationship Type="http://schemas.openxmlformats.org/officeDocument/2006/relationships/hyperlink" Target="https://www.cookcountytreasurer.com/" TargetMode="External" Id="Re4dd59da73624be3" /><Relationship Type="http://schemas.openxmlformats.org/officeDocument/2006/relationships/hyperlink" Target="https://www.cookcountytreasurer.com/" TargetMode="External" Id="Ra37a8b52bba0418e" /><Relationship Type="http://schemas.openxmlformats.org/officeDocument/2006/relationships/drawing" Target="/xl/drawings/drawing2.xml" Id="R04773ed8d53b456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3.xml" Id="Rb6e8dc775a14434a" /></Relationships>
</file>

<file path=xl/worksheets/sheet1.xml><?xml version="1.0" encoding="utf-8"?>
<x:worksheet xmlns:x="http://schemas.openxmlformats.org/spreadsheetml/2006/main">
  <x:sheetFormatPr defaultColWidth="8.875" defaultRowHeight="14.25"/>
  <x:cols>
    <x:col min="1" max="1" width="24" customWidth="1"/>
    <x:col min="2" max="2" width="14" customWidth="1"/>
    <x:col min="3" max="3" width="18" customWidth="1"/>
    <x:col min="4" max="4" width="34" customWidth="1"/>
    <x:col min="5" max="5" width="28" customWidth="1"/>
    <x:col min="6" max="6" width="62" customWidth="1"/>
    <x:col min="7" max="7" width="12" customWidth="1"/>
    <x:col min="8" max="8" width="18" customWidth="1"/>
  </x:cols>
  <x:sheetData>
    <x:row r="1" ht="37.349998474121094" customHeight="1">
      <x:c r="A1" s="71" t="s">
        <x:v>0</x:v>
      </x:c>
      <x:c r="B1" s="71"/>
      <x:c r="C1" s="71"/>
      <x:c r="D1" s="71"/>
      <x:c r="E1" s="71"/>
      <x:c r="F1" s="71"/>
      <x:c r="G1" s="71"/>
      <x:c r="H1" s="71"/>
    </x:row>
    <x:row r="2">
      <x:c r="A2" s="72" t="str">
        <x:v>v1.2.8b WINDOWS COMPLETE — merge-safe reset throughout</x:v>
      </x:c>
      <x:c r="B2" s="72"/>
      <x:c r="C2" s="72"/>
      <x:c r="D2" s="72"/>
      <x:c r="E2" s="72"/>
      <x:c r="F2" s="72"/>
      <x:c r="G2" s="72"/>
      <x:c r="H2" s="72"/>
    </x:row>
    <x:row r="4" ht="15.75">
      <x:c r="A4" s="1" t="s">
        <x:v>1</x:v>
      </x:c>
      <x:c r="B4" s="73"/>
      <x:c r="C4" s="73"/>
      <x:c r="D4" s="73"/>
      <x:c r="E4" s="74" t="s">
        <x:v>2</x:v>
      </x:c>
      <x:c r="F4" s="74"/>
      <x:c r="G4" s="74"/>
      <x:c r="H4" s="74"/>
    </x:row>
    <x:row r="6" ht="15" customHeight="1">
      <x:c r="A6" s="1" t="s">
        <x:v>3</x:v>
      </x:c>
      <x:c r="B6" s="69"/>
      <x:c r="C6" s="69"/>
      <x:c r="D6" s="69"/>
      <x:c r="E6" s="70" t="s">
        <x:v>4</x:v>
      </x:c>
      <x:c r="F6" s="70"/>
      <x:c r="G6" s="70"/>
      <x:c r="H6" s="70"/>
    </x:row>
    <x:row r="7">
      <x:c r="B7" s="69"/>
      <x:c r="C7" s="69"/>
      <x:c r="D7" s="69"/>
      <x:c r="E7" s="70"/>
      <x:c r="F7" s="70"/>
      <x:c r="G7" s="70"/>
      <x:c r="H7" s="70"/>
    </x:row>
    <x:row r="8" ht="15">
      <x:c r="A8" s="1"/>
      <x:c r="B8" s="75" t="str">
        <x:v>Setup required once — import the v1.2.8b full VBA module, compile, then run SetupCookDueDiligence_v128Windows</x:v>
      </x:c>
      <x:c r="C8" s="75"/>
      <x:c r="D8" s="75"/>
      <x:c r="E8" s="75"/>
      <x:c r="F8" s="75"/>
      <x:c r="G8" s="75"/>
      <x:c r="H8" s="75"/>
    </x:row>
    <x:row r="10" ht="15">
      <x:c r="A10" s="68" t="s">
        <x:v>5</x:v>
      </x:c>
      <x:c r="B10" s="68"/>
      <x:c r="C10" s="68"/>
      <x:c r="D10" s="68"/>
      <x:c r="E10" s="68"/>
      <x:c r="F10" s="68"/>
      <x:c r="G10" s="68"/>
      <x:c r="H10" s="68"/>
    </x:row>
    <x:row r="11" ht="15">
      <x:c r="A11" s="3" t="s">
        <x:v>6</x:v>
      </x:c>
      <x:c r="B11" s="3" t="s">
        <x:v>7</x:v>
      </x:c>
      <x:c r="C11" s="3" t="s">
        <x:v>8</x:v>
      </x:c>
      <x:c r="D11" s="3" t="s">
        <x:v>9</x:v>
      </x:c>
      <x:c r="E11" s="3" t="s">
        <x:v>10</x:v>
      </x:c>
      <x:c r="F11" s="3" t="s">
        <x:v>11</x:v>
      </x:c>
      <x:c r="G11" s="3" t="s">
        <x:v>12</x:v>
      </x:c>
      <x:c r="H11" s="3" t="s">
        <x:v>13</x:v>
      </x:c>
    </x:row>
    <x:row r="12" ht="15">
      <x:c r="A12" s="4" t="s">
        <x:v>14</x:v>
      </x:c>
      <x:c r="B12" s="4" t="str">
        <x:v>Not run</x:v>
      </x:c>
      <x:c r="C12" s="4"/>
      <x:c r="D12" s="4"/>
      <x:c r="E12" s="4" t="s">
        <x:v>15</x:v>
      </x:c>
      <x:c r="F12" s="4" t="s">
        <x:v>16</x:v>
      </x:c>
      <x:c r="G12" s="4" t="s">
        <x:v>17</x:v>
      </x:c>
      <x:c r="H12" s="4" t="s">
        <x:v>18</x:v>
      </x:c>
    </x:row>
    <x:row r="13" ht="15">
      <x:c r="A13" s="4" t="s">
        <x:v>19</x:v>
      </x:c>
      <x:c r="B13" s="4" t="str">
        <x:v>Not run</x:v>
      </x:c>
      <x:c r="C13" s="4"/>
      <x:c r="D13" s="4"/>
      <x:c r="E13" s="4" t="s">
        <x:v>20</x:v>
      </x:c>
      <x:c r="F13" s="4" t="s">
        <x:v>21</x:v>
      </x:c>
      <x:c r="G13" s="4" t="s">
        <x:v>17</x:v>
      </x:c>
      <x:c r="H13" s="4" t="s">
        <x:v>18</x:v>
      </x:c>
    </x:row>
    <x:row r="14" ht="15">
      <x:c r="A14" s="4" t="s">
        <x:v>22</x:v>
      </x:c>
      <x:c r="B14" s="4" t="str">
        <x:v>Not run</x:v>
      </x:c>
      <x:c r="C14" s="4"/>
      <x:c r="D14" s="4"/>
      <x:c r="E14" s="4" t="s">
        <x:v>23</x:v>
      </x:c>
      <x:c r="F14" s="4" t="s">
        <x:v>24</x:v>
      </x:c>
      <x:c r="G14" s="4" t="s">
        <x:v>17</x:v>
      </x:c>
      <x:c r="H14" s="4" t="s">
        <x:v>18</x:v>
      </x:c>
    </x:row>
    <x:row r="15" ht="15">
      <x:c r="A15" s="4" t="s">
        <x:v>25</x:v>
      </x:c>
      <x:c r="B15" s="4" t="str">
        <x:v>Not run</x:v>
      </x:c>
      <x:c r="C15" s="4"/>
      <x:c r="D15" s="4"/>
      <x:c r="E15" s="4" t="s">
        <x:v>23</x:v>
      </x:c>
      <x:c r="F15" s="4" t="s">
        <x:v>26</x:v>
      </x:c>
      <x:c r="G15" s="4" t="s">
        <x:v>17</x:v>
      </x:c>
      <x:c r="H15" s="4" t="s">
        <x:v>18</x:v>
      </x:c>
    </x:row>
    <x:row r="16" ht="29.25">
      <x:c r="A16" s="4" t="s">
        <x:v>27</x:v>
      </x:c>
      <x:c r="B16" s="4" t="str">
        <x:v>Not run</x:v>
      </x:c>
      <x:c r="C16" s="4"/>
      <x:c r="D16" s="4"/>
      <x:c r="E16" s="4" t="s">
        <x:v>28</x:v>
      </x:c>
      <x:c r="F16" s="4" t="s">
        <x:v>29</x:v>
      </x:c>
      <x:c r="G16" s="4" t="s">
        <x:v>17</x:v>
      </x:c>
      <x:c r="H16" s="4" t="s">
        <x:v>18</x:v>
      </x:c>
    </x:row>
    <x:row r="17" ht="15">
      <x:c r="A17" s="4" t="s">
        <x:v>30</x:v>
      </x:c>
      <x:c r="B17" s="4" t="str">
        <x:v>Not run</x:v>
      </x:c>
      <x:c r="C17" s="4"/>
      <x:c r="D17" s="4"/>
      <x:c r="E17" s="4" t="s">
        <x:v>31</x:v>
      </x:c>
      <x:c r="F17" s="4" t="s">
        <x:v>32</x:v>
      </x:c>
      <x:c r="G17" s="4" t="s">
        <x:v>17</x:v>
      </x:c>
      <x:c r="H17" s="4" t="s">
        <x:v>18</x:v>
      </x:c>
    </x:row>
    <x:row r="18" ht="29.25">
      <x:c r="A18" s="4" t="s">
        <x:v>33</x:v>
      </x:c>
      <x:c r="B18" s="4" t="str">
        <x:v>Not run</x:v>
      </x:c>
      <x:c r="C18" s="4"/>
      <x:c r="D18" s="4"/>
      <x:c r="E18" s="4" t="s">
        <x:v>34</x:v>
      </x:c>
      <x:c r="F18" s="4" t="s">
        <x:v>35</x:v>
      </x:c>
      <x:c r="G18" s="4" t="s">
        <x:v>36</x:v>
      </x:c>
      <x:c r="H18" s="4" t="s">
        <x:v>18</x:v>
      </x:c>
    </x:row>
    <x:row r="19" ht="29.25">
      <x:c r="A19" s="4" t="s">
        <x:v>37</x:v>
      </x:c>
      <x:c r="B19" s="4" t="str">
        <x:v>Not run</x:v>
      </x:c>
      <x:c r="C19" s="4"/>
      <x:c r="D19" s="4"/>
      <x:c r="E19" s="4" t="s">
        <x:v>38</x:v>
      </x:c>
      <x:c r="F19" s="4" t="s">
        <x:v>39</x:v>
      </x:c>
      <x:c r="G19" s="4" t="s">
        <x:v>17</x:v>
      </x:c>
      <x:c r="H19" s="4" t="s">
        <x:v>40</x:v>
      </x:c>
    </x:row>
    <x:row r="20" ht="15">
      <x:c r="A20" s="4" t="s">
        <x:v>41</x:v>
      </x:c>
      <x:c r="B20" s="4" t="str">
        <x:v>Not run</x:v>
      </x:c>
      <x:c r="C20" s="4"/>
      <x:c r="D20" s="4"/>
      <x:c r="E20" s="4" t="s">
        <x:v>42</x:v>
      </x:c>
      <x:c r="F20" s="4" t="s">
        <x:v>43</x:v>
      </x:c>
      <x:c r="G20" s="4" t="s">
        <x:v>17</x:v>
      </x:c>
      <x:c r="H20" s="4" t="s">
        <x:v>44</x:v>
      </x:c>
    </x:row>
    <x:row r="21" ht="29.25">
      <x:c r="A21" s="4" t="s">
        <x:v>45</x:v>
      </x:c>
      <x:c r="B21" s="4" t="str">
        <x:v>Not run</x:v>
      </x:c>
      <x:c r="C21" s="4"/>
      <x:c r="D21" s="4"/>
      <x:c r="E21" s="4" t="s">
        <x:v>46</x:v>
      </x:c>
      <x:c r="F21" s="4" t="s">
        <x:v>47</x:v>
      </x:c>
      <x:c r="G21" s="4" t="s">
        <x:v>17</x:v>
      </x:c>
      <x:c r="H21" s="4" t="s">
        <x:v>48</x:v>
      </x:c>
    </x:row>
    <x:row r="22" ht="43.5">
      <x:c r="A22" s="4" t="s">
        <x:v>49</x:v>
      </x:c>
      <x:c r="B22" s="4" t="str">
        <x:v>Not run</x:v>
      </x:c>
      <x:c r="C22" s="4"/>
      <x:c r="D22" s="4"/>
      <x:c r="E22" s="4" t="s">
        <x:v>50</x:v>
      </x:c>
      <x:c r="F22" s="4" t="s">
        <x:v>51</x:v>
      </x:c>
      <x:c r="G22" s="4" t="s">
        <x:v>36</x:v>
      </x:c>
      <x:c r="H22" s="4" t="s">
        <x:v>52</x:v>
      </x:c>
    </x:row>
    <x:row r="23">
      <x:c r="A23" t="s">
        <x:v>53</x:v>
      </x:c>
      <x:c r="B23" t="str">
        <x:v>Not run</x:v>
      </x:c>
      <x:c r="C23"/>
      <x:c r="D23"/>
      <x:c r="E23" t="s">
        <x:v>54</x:v>
      </x:c>
      <x:c r="F23" t="s">
        <x:v>55</x:v>
      </x:c>
      <x:c r="G23" t="s">
        <x:v>36</x:v>
      </x:c>
      <x:c r="H23" t="s">
        <x:v>56</x:v>
      </x:c>
    </x:row>
    <x:row r="24">
      <x:c r="A24" t="s">
        <x:v>57</x:v>
      </x:c>
      <x:c r="B24" t="str">
        <x:v>Not run</x:v>
      </x:c>
      <x:c r="C24"/>
      <x:c r="D24"/>
      <x:c r="E24" t="s">
        <x:v>58</x:v>
      </x:c>
      <x:c r="F24" t="s">
        <x:v>59</x:v>
      </x:c>
      <x:c r="G24" t="s">
        <x:v>36</x:v>
      </x:c>
      <x:c r="H24" t="s">
        <x:v>60</x:v>
      </x:c>
    </x:row>
    <x:row r="25">
      <x:c r="B25" t="str">
        <x:v>Not run</x:v>
      </x:c>
    </x:row>
    <x:row r="26">
      <x:c r="B26" t="str">
        <x:v>Not run</x:v>
      </x:c>
    </x:row>
    <x:row r="27">
      <x:c r="B27" t="str">
        <x:v>Not run</x:v>
      </x:c>
    </x:row>
    <x:row r="28">
      <x:c r="B28" t="str">
        <x:v>Not run</x:v>
      </x:c>
    </x:row>
    <x:row r="29">
      <x:c r="B29" t="str">
        <x:v>Not run</x:v>
      </x:c>
    </x:row>
    <x:row r="30">
      <x:c r="B30" t="str">
        <x:v>Not run</x:v>
      </x:c>
    </x:row>
    <x:row r="31">
      <x:c r="B31" t="str">
        <x:v>Not run</x:v>
      </x:c>
    </x:row>
    <x:row r="32">
      <x:c r="B32" t="str">
        <x:v>Not run</x:v>
      </x:c>
    </x:row>
    <x:row r="33">
      <x:c r="B33" t="str">
        <x:v>Not run</x:v>
      </x:c>
    </x:row>
    <x:row r="34">
      <x:c r="B34" t="str">
        <x:v>Not run</x:v>
      </x:c>
    </x:row>
    <x:row r="35">
      <x:c r="B35" t="str">
        <x:v>Not run</x:v>
      </x:c>
    </x:row>
    <x:row r="36">
      <x:c r="B36" t="str">
        <x:v>Not run</x:v>
      </x:c>
    </x:row>
    <x:row r="37">
      <x:c r="B37" t="str">
        <x:v>Not run</x:v>
      </x:c>
    </x:row>
    <x:row r="38">
      <x:c r="B38" t="str">
        <x:v>Not run</x:v>
      </x:c>
    </x:row>
    <x:row r="39">
      <x:c r="B39" t="str">
        <x:v>Not run</x:v>
      </x:c>
    </x:row>
  </x:sheetData>
  <x:mergeCells>
    <x:mergeCell ref="A10:H10"/>
    <x:mergeCell ref="B6:D7"/>
    <x:mergeCell ref="E6:H7"/>
    <x:mergeCell ref="A1:H1"/>
    <x:mergeCell ref="A2:H2"/>
    <x:mergeCell ref="B4:D4"/>
    <x:mergeCell ref="E4:H4"/>
    <x:mergeCell ref="B8:H8"/>
  </x:mergeCells>
  <x:conditionalFormatting sqref="B12:B22">
    <x:cfRule type="expression" dxfId="6" priority="1">
      <x:formula>B12="OK"</x:formula>
    </x:cfRule>
    <x:cfRule type="expression" dxfId="5" priority="2">
      <x:formula>B12="FAILED"</x:formula>
    </x:cfRule>
    <x:cfRule type="expression" dxfId="4" priority="3">
      <x:formula>B12="Running"</x:formula>
    </x:cfRule>
    <x:cfRule type="expression" dxfId="3" priority="4">
      <x:formula>B12="Not run"</x:formula>
    </x:cfRule>
    <x:cfRule type="expression" dxfId="2" priority="5">
      <x:formula>B12="PARTIAL"</x:formula>
    </x:cfRule>
    <x:cfRule type="expression" dxfId="1" priority="6">
      <x:formula>B12="NO RECORDS"</x:formula>
    </x:cfRule>
  </x:conditionalFormatting>
  <x:conditionalFormatting sqref="B12:B24">
    <x:cfRule type="expression" dxfId="0" priority="7">
      <x:formula>B12="SKIPPED"</x:formula>
    </x:cfRule>
  </x:conditionalFormatting>
  <x:pageMargins left="0.7" right="0.7" top="0.75" bottom="0.75" header="0.3" footer="0.3"/>
  <x:drawing xmlns:r="http://schemas.openxmlformats.org/officeDocument/2006/relationships" r:id="Re6ee3f0072774c09"/>
</x:worksheet>
</file>

<file path=xl/worksheets/sheet2.xml><?xml version="1.0" encoding="utf-8"?>
<x:worksheet xmlns:x="http://schemas.openxmlformats.org/spreadsheetml/2006/main">
  <x:sheetFormatPr defaultColWidth="8.875" defaultRowHeight="14.25"/>
  <x:cols>
    <x:col min="1" max="1" width="32" customWidth="1"/>
    <x:col min="2" max="2" width="34" customWidth="1"/>
    <x:col min="3" max="3" width="26" customWidth="1"/>
    <x:col min="4" max="4" width="22" customWidth="1"/>
    <x:col min="5" max="5" width="14" customWidth="1"/>
    <x:col min="6" max="6" width="44" customWidth="1"/>
  </x:cols>
  <x:sheetData>
    <x:row r="1" ht="37.349998474121094" customHeight="1">
      <x:c r="A1" s="71" t="s">
        <x:v>61</x:v>
      </x:c>
      <x:c r="B1" s="71"/>
      <x:c r="C1" s="71"/>
      <x:c r="D1" s="71"/>
      <x:c r="E1" s="71"/>
      <x:c r="F1" s="71"/>
    </x:row>
    <x:row r="2">
      <x:c r="A2" s="72" t="s">
        <x:v>62</x:v>
      </x:c>
      <x:c r="B2" s="72"/>
      <x:c r="C2" s="72"/>
      <x:c r="D2" s="72"/>
      <x:c r="E2" s="72"/>
      <x:c r="F2" s="72"/>
    </x:row>
    <x:row r="4" ht="15">
      <x:c r="A4" s="5" t="s">
        <x:v>63</x:v>
      </x:c>
      <x:c r="B4" s="5" t="s">
        <x:v>64</x:v>
      </x:c>
      <x:c r="C4" s="5" t="s">
        <x:v>6</x:v>
      </x:c>
      <x:c r="D4" s="5" t="s">
        <x:v>65</x:v>
      </x:c>
      <x:c r="E4" s="5" t="s">
        <x:v>7</x:v>
      </x:c>
      <x:c r="F4" s="5" t="s">
        <x:v>9</x:v>
      </x:c>
    </x:row>
    <x:row r="5" ht="15">
      <x:c r="A5" s="132" t="s">
        <x:v>66</x:v>
      </x:c>
      <x:c r="B5" s="133"/>
      <x:c r="C5" s="132"/>
      <x:c r="D5" s="134"/>
      <x:c r="E5" s="152"/>
      <x:c r="F5" s="132"/>
    </x:row>
    <x:row r="6" ht="15">
      <x:c r="A6" s="135" t="s">
        <x:v>67</x:v>
      </x:c>
      <x:c r="B6" s="135"/>
      <x:c r="C6" s="135"/>
      <x:c r="D6" s="135"/>
      <x:c r="E6" s="152"/>
      <x:c r="F6" s="135"/>
    </x:row>
    <x:row r="7" ht="15">
      <x:c r="A7" s="132" t="s">
        <x:v>68</x:v>
      </x:c>
      <x:c r="B7" s="132"/>
      <x:c r="C7" s="132"/>
      <x:c r="D7" s="132"/>
      <x:c r="E7" s="152"/>
      <x:c r="F7" s="132"/>
    </x:row>
    <x:row r="8" ht="15">
      <x:c r="A8" s="135" t="s">
        <x:v>69</x:v>
      </x:c>
      <x:c r="B8" s="135"/>
      <x:c r="C8" s="135"/>
      <x:c r="D8" s="135"/>
      <x:c r="E8" s="153"/>
      <x:c r="F8" s="135"/>
    </x:row>
    <x:row r="9" ht="15">
      <x:c r="A9" s="132" t="s">
        <x:v>70</x:v>
      </x:c>
      <x:c r="B9" s="132"/>
      <x:c r="C9" s="132"/>
      <x:c r="D9" s="132"/>
      <x:c r="E9" s="152"/>
      <x:c r="F9" s="132"/>
    </x:row>
    <x:row r="10" ht="15">
      <x:c r="A10" s="135" t="s">
        <x:v>71</x:v>
      </x:c>
      <x:c r="B10" s="135"/>
      <x:c r="C10" s="135"/>
      <x:c r="D10" s="135"/>
      <x:c r="E10" s="152"/>
      <x:c r="F10" s="135"/>
    </x:row>
    <x:row r="11" ht="15">
      <x:c r="A11" s="132" t="s">
        <x:v>72</x:v>
      </x:c>
      <x:c r="B11" s="132"/>
      <x:c r="C11" s="132"/>
      <x:c r="D11" s="132"/>
      <x:c r="E11" s="152"/>
      <x:c r="F11" s="132"/>
    </x:row>
    <x:row r="12" ht="29.25">
      <x:c r="A12" s="135" t="s">
        <x:v>73</x:v>
      </x:c>
      <x:c r="B12" s="135"/>
      <x:c r="C12" s="135"/>
      <x:c r="D12" s="135"/>
      <x:c r="E12" s="153"/>
      <x:c r="F12" s="135"/>
    </x:row>
    <x:row r="13" ht="29.25">
      <x:c r="A13" s="132" t="s">
        <x:v>74</x:v>
      </x:c>
      <x:c r="B13" s="132"/>
      <x:c r="C13" s="132"/>
      <x:c r="D13" s="132"/>
      <x:c r="E13" s="152"/>
      <x:c r="F13" s="132"/>
    </x:row>
    <x:row r="14" ht="15">
      <x:c r="A14" s="135" t="s">
        <x:v>75</x:v>
      </x:c>
      <x:c r="B14" s="135"/>
      <x:c r="C14" s="135"/>
      <x:c r="D14" s="135"/>
      <x:c r="E14" s="152"/>
      <x:c r="F14" s="135"/>
    </x:row>
    <x:row r="15" ht="15">
      <x:c r="A15" s="132" t="s">
        <x:v>76</x:v>
      </x:c>
      <x:c r="B15" s="132"/>
      <x:c r="C15" s="132"/>
      <x:c r="D15" s="132"/>
      <x:c r="E15" s="152"/>
      <x:c r="F15" s="132"/>
    </x:row>
    <x:row r="16" ht="15">
      <x:c r="A16" s="135" t="s">
        <x:v>77</x:v>
      </x:c>
      <x:c r="B16" s="135"/>
      <x:c r="C16" s="135"/>
      <x:c r="D16" s="135"/>
      <x:c r="E16" s="152"/>
      <x:c r="F16" s="135"/>
    </x:row>
    <x:row r="17" ht="15">
      <x:c r="A17" s="132" t="s">
        <x:v>78</x:v>
      </x:c>
      <x:c r="B17" s="132"/>
      <x:c r="C17" s="132"/>
      <x:c r="D17" s="132"/>
      <x:c r="E17" s="152"/>
      <x:c r="F17" s="132"/>
    </x:row>
    <x:row r="18" ht="15">
      <x:c r="A18" s="135" t="s">
        <x:v>79</x:v>
      </x:c>
      <x:c r="B18" s="136"/>
      <x:c r="C18" s="135"/>
      <x:c r="D18" s="135"/>
      <x:c r="E18" s="152"/>
      <x:c r="F18" s="135"/>
    </x:row>
    <x:row r="19" ht="15">
      <x:c r="A19" s="132" t="s">
        <x:v>80</x:v>
      </x:c>
      <x:c r="B19" s="132"/>
      <x:c r="C19" s="132"/>
      <x:c r="D19" s="132"/>
      <x:c r="E19" s="152"/>
      <x:c r="F19" s="132"/>
    </x:row>
    <x:row r="20" ht="15">
      <x:c r="A20" s="135" t="s">
        <x:v>81</x:v>
      </x:c>
      <x:c r="B20" s="135"/>
      <x:c r="C20" s="135"/>
      <x:c r="D20" s="135"/>
      <x:c r="E20" s="152"/>
      <x:c r="F20" s="135"/>
    </x:row>
    <x:row r="21" ht="15">
      <x:c r="A21" s="132" t="s">
        <x:v>82</x:v>
      </x:c>
      <x:c r="B21" s="132"/>
      <x:c r="C21" s="132"/>
      <x:c r="D21" s="132"/>
      <x:c r="E21" s="152"/>
      <x:c r="F21" s="132"/>
    </x:row>
    <x:row r="22" ht="15">
      <x:c r="A22" s="135" t="s">
        <x:v>83</x:v>
      </x:c>
      <x:c r="B22" s="135"/>
      <x:c r="C22" s="135"/>
      <x:c r="D22" s="135"/>
      <x:c r="E22" s="152"/>
      <x:c r="F22" s="135"/>
    </x:row>
    <x:row r="23" ht="15">
      <x:c r="A23" s="132" t="s">
        <x:v>84</x:v>
      </x:c>
      <x:c r="B23" s="133"/>
      <x:c r="C23" s="132"/>
      <x:c r="D23" s="132"/>
      <x:c r="E23" s="152"/>
      <x:c r="F23" s="132"/>
    </x:row>
    <x:row r="24" ht="29.25">
      <x:c r="A24" s="135" t="s">
        <x:v>85</x:v>
      </x:c>
      <x:c r="B24" s="135"/>
      <x:c r="C24" s="135"/>
      <x:c r="D24" s="135"/>
      <x:c r="E24" s="153"/>
      <x:c r="F24" s="135"/>
    </x:row>
    <x:row r="25" ht="15">
      <x:c r="A25" s="132" t="s">
        <x:v>86</x:v>
      </x:c>
      <x:c r="B25" s="132"/>
      <x:c r="C25" s="132"/>
      <x:c r="D25" s="132"/>
      <x:c r="E25" s="152"/>
      <x:c r="F25" s="132"/>
    </x:row>
    <x:row r="26" ht="15">
      <x:c r="A26" s="135" t="s">
        <x:v>87</x:v>
      </x:c>
      <x:c r="B26" s="137"/>
      <x:c r="C26" s="135"/>
      <x:c r="D26" s="135"/>
      <x:c r="E26" s="152"/>
      <x:c r="F26" s="135"/>
    </x:row>
    <x:row r="27" ht="15">
      <x:c r="A27" s="132" t="s">
        <x:v>88</x:v>
      </x:c>
      <x:c r="B27" s="138"/>
      <x:c r="C27" s="132"/>
      <x:c r="D27" s="132"/>
      <x:c r="E27" s="152"/>
      <x:c r="F27" s="132"/>
    </x:row>
    <x:row r="28" ht="15">
      <x:c r="A28" s="135" t="s">
        <x:v>89</x:v>
      </x:c>
      <x:c r="B28" s="135"/>
      <x:c r="C28" s="135"/>
      <x:c r="D28" s="135"/>
      <x:c r="E28" s="152"/>
      <x:c r="F28" s="135"/>
    </x:row>
    <x:row r="29" ht="15">
      <x:c r="A29" s="132" t="s">
        <x:v>90</x:v>
      </x:c>
      <x:c r="B29" s="132"/>
      <x:c r="C29" s="132"/>
      <x:c r="D29" s="132"/>
      <x:c r="E29" s="152"/>
      <x:c r="F29" s="132"/>
    </x:row>
    <x:row r="30" ht="15">
      <x:c r="A30" s="135" t="s">
        <x:v>91</x:v>
      </x:c>
      <x:c r="B30" s="137"/>
      <x:c r="C30" s="135"/>
      <x:c r="D30" s="135"/>
      <x:c r="E30" s="152"/>
      <x:c r="F30" s="135"/>
    </x:row>
    <x:row r="31" ht="15">
      <x:c r="A31" s="132" t="s">
        <x:v>92</x:v>
      </x:c>
      <x:c r="B31" s="138"/>
      <x:c r="C31" s="132"/>
      <x:c r="D31" s="132"/>
      <x:c r="E31" s="152"/>
      <x:c r="F31" s="132"/>
    </x:row>
    <x:row r="32" ht="15">
      <x:c r="A32" s="135" t="s">
        <x:v>93</x:v>
      </x:c>
      <x:c r="B32" s="137"/>
      <x:c r="C32" s="135"/>
      <x:c r="D32" s="135"/>
      <x:c r="E32" s="152"/>
      <x:c r="F32" s="135"/>
    </x:row>
    <x:row r="33" ht="43.5">
      <x:c r="A33" s="132" t="s">
        <x:v>94</x:v>
      </x:c>
      <x:c r="B33" s="132"/>
      <x:c r="C33" s="132"/>
      <x:c r="D33" s="132"/>
      <x:c r="E33" s="153"/>
      <x:c r="F33" s="132"/>
    </x:row>
    <x:row r="34" ht="29.25">
      <x:c r="A34" s="135" t="s">
        <x:v>95</x:v>
      </x:c>
      <x:c r="B34" s="135"/>
      <x:c r="C34" s="135"/>
      <x:c r="D34" s="135"/>
      <x:c r="E34" s="153"/>
      <x:c r="F34" s="135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75" defaultRowHeight="14.25"/>
  <x:cols>
    <x:col min="1" max="1" width="11" customWidth="1"/>
    <x:col min="2" max="2" width="10" customWidth="1"/>
    <x:col min="3" max="3" width="14" customWidth="1"/>
    <x:col min="4" max="4" width="16" customWidth="1"/>
    <x:col min="5" max="5" width="14" customWidth="1"/>
    <x:col min="6" max="6" width="15" customWidth="1"/>
    <x:col min="7" max="7" width="17" customWidth="1"/>
    <x:col min="8" max="8" width="15" customWidth="1"/>
    <x:col min="9" max="9" width="13" customWidth="1"/>
    <x:col min="10" max="10" width="15" customWidth="1"/>
    <x:col min="11" max="11" width="13" customWidth="1"/>
  </x:cols>
  <x:sheetData>
    <x:row r="1" ht="37.349998474121094" customHeight="1">
      <x:c r="A1" s="71" t="s">
        <x:v>96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</x:row>
    <x:row r="2">
      <x:c r="A2" s="72" t="s">
        <x:v>97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</x:row>
    <x:row r="4" ht="15">
      <x:c r="A4" s="5" t="s">
        <x:v>98</x:v>
      </x:c>
      <x:c r="B4" s="5" t="s">
        <x:v>99</x:v>
      </x:c>
      <x:c r="C4" s="5" t="s">
        <x:v>100</x:v>
      </x:c>
      <x:c r="D4" s="5" t="s">
        <x:v>101</x:v>
      </x:c>
      <x:c r="E4" s="5" t="s">
        <x:v>102</x:v>
      </x:c>
      <x:c r="F4" s="5" t="s">
        <x:v>103</x:v>
      </x:c>
      <x:c r="G4" s="5" t="s">
        <x:v>104</x:v>
      </x:c>
      <x:c r="H4" s="5" t="s">
        <x:v>105</x:v>
      </x:c>
      <x:c r="I4" s="5" t="s">
        <x:v>106</x:v>
      </x:c>
      <x:c r="J4" s="5" t="s">
        <x:v>107</x:v>
      </x:c>
      <x:c r="K4" s="5" t="s">
        <x:v>108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132"/>
      <x:c r="B5" s="132"/>
      <x:c r="C5" s="138"/>
      <x:c r="D5" s="138"/>
      <x:c r="E5" s="138"/>
      <x:c r="F5" s="138"/>
      <x:c r="G5" s="138"/>
      <x:c r="H5" s="138"/>
      <x:c r="I5" s="138"/>
      <x:c r="J5" s="138"/>
      <x:c r="K5" s="138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135"/>
      <x:c r="B6" s="135"/>
      <x:c r="C6" s="137"/>
      <x:c r="D6" s="137"/>
      <x:c r="E6" s="137"/>
      <x:c r="F6" s="137"/>
      <x:c r="G6" s="137"/>
      <x:c r="H6" s="137"/>
      <x:c r="I6" s="137"/>
      <x:c r="J6" s="137"/>
      <x:c r="K6" s="137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132"/>
      <x:c r="B7" s="132"/>
      <x:c r="C7" s="138"/>
      <x:c r="D7" s="138"/>
      <x:c r="E7" s="138"/>
      <x:c r="F7" s="138"/>
      <x:c r="G7" s="138"/>
      <x:c r="H7" s="138"/>
      <x:c r="I7" s="138"/>
      <x:c r="J7" s="138"/>
      <x:c r="K7" s="138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135"/>
      <x:c r="B8" s="135"/>
      <x:c r="C8" s="137"/>
      <x:c r="D8" s="137"/>
      <x:c r="E8" s="137"/>
      <x:c r="F8" s="137"/>
      <x:c r="G8" s="137"/>
      <x:c r="H8" s="137"/>
      <x:c r="I8" s="137"/>
      <x:c r="J8" s="137"/>
      <x:c r="K8" s="137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132"/>
      <x:c r="B9" s="132"/>
      <x:c r="C9" s="138"/>
      <x:c r="D9" s="138"/>
      <x:c r="E9" s="138"/>
      <x:c r="F9" s="138"/>
      <x:c r="G9" s="138"/>
      <x:c r="H9" s="138"/>
      <x:c r="I9" s="138"/>
      <x:c r="J9" s="138"/>
      <x:c r="K9" s="138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135"/>
      <x:c r="B10" s="135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132"/>
      <x:c r="B11" s="132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135"/>
      <x:c r="B12" s="135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9"/>
      <x:c r="D13" s="9"/>
      <x:c r="E13" s="9"/>
      <x:c r="F13" s="9"/>
      <x:c r="G13" s="9"/>
      <x:c r="H13" s="9"/>
      <x:c r="I13" s="9"/>
      <x:c r="J13" s="9"/>
      <x:c r="K13" s="9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9"/>
      <x:c r="D14" s="9"/>
      <x:c r="E14" s="9"/>
      <x:c r="F14" s="9"/>
      <x:c r="G14" s="9"/>
      <x:c r="H14" s="9"/>
      <x:c r="I14" s="9"/>
      <x:c r="J14" s="9"/>
      <x:c r="K14" s="9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9"/>
      <x:c r="D15" s="9"/>
      <x:c r="E15" s="9"/>
      <x:c r="F15" s="9"/>
      <x:c r="G15" s="9"/>
      <x:c r="H15" s="9"/>
      <x:c r="I15" s="9"/>
      <x:c r="J15" s="9"/>
      <x:c r="K15" s="9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9"/>
      <x:c r="D16" s="9"/>
      <x:c r="E16" s="9"/>
      <x:c r="F16" s="9"/>
      <x:c r="G16" s="9"/>
      <x:c r="H16" s="9"/>
      <x:c r="I16" s="9"/>
      <x:c r="J16" s="9"/>
      <x:c r="K16" s="9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9"/>
      <x:c r="D17" s="9"/>
      <x:c r="E17" s="9"/>
      <x:c r="F17" s="9"/>
      <x:c r="G17" s="9"/>
      <x:c r="H17" s="9"/>
      <x:c r="I17" s="9"/>
      <x:c r="J17" s="9"/>
      <x:c r="K17" s="9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9"/>
      <x:c r="D18" s="9"/>
      <x:c r="E18" s="9"/>
      <x:c r="F18" s="9"/>
      <x:c r="G18" s="9"/>
      <x:c r="H18" s="9"/>
      <x:c r="I18" s="9"/>
      <x:c r="J18" s="9"/>
      <x:c r="K18" s="9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9"/>
      <x:c r="D19" s="9"/>
      <x:c r="E19" s="9"/>
      <x:c r="F19" s="9"/>
      <x:c r="G19" s="9"/>
      <x:c r="H19" s="9"/>
      <x:c r="I19" s="9"/>
      <x:c r="J19" s="9"/>
      <x:c r="K19" s="9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9"/>
      <x:c r="D20" s="9"/>
      <x:c r="E20" s="9"/>
      <x:c r="F20" s="9"/>
      <x:c r="G20" s="9"/>
      <x:c r="H20" s="9"/>
      <x:c r="I20" s="9"/>
      <x:c r="J20" s="9"/>
      <x:c r="K20" s="9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9"/>
      <x:c r="D21" s="9"/>
      <x:c r="E21" s="9"/>
      <x:c r="F21" s="9"/>
      <x:c r="G21" s="9"/>
      <x:c r="H21" s="9"/>
      <x:c r="I21" s="9"/>
      <x:c r="J21" s="9"/>
      <x:c r="K21" s="9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9"/>
      <x:c r="D22" s="9"/>
      <x:c r="E22" s="9"/>
      <x:c r="F22" s="9"/>
      <x:c r="G22" s="9"/>
      <x:c r="H22" s="9"/>
      <x:c r="I22" s="9"/>
      <x:c r="J22" s="9"/>
      <x:c r="K22" s="9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9"/>
      <x:c r="D23" s="9"/>
      <x:c r="E23" s="9"/>
      <x:c r="F23" s="9"/>
      <x:c r="G23" s="9"/>
      <x:c r="H23" s="9"/>
      <x:c r="I23" s="9"/>
      <x:c r="J23" s="9"/>
      <x:c r="K23" s="9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9"/>
      <x:c r="D24" s="9"/>
      <x:c r="E24" s="9"/>
      <x:c r="F24" s="9"/>
      <x:c r="G24" s="9"/>
      <x:c r="H24" s="9"/>
      <x:c r="I24" s="9"/>
      <x:c r="J24" s="9"/>
      <x:c r="K24" s="9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9"/>
      <x:c r="D25" s="9"/>
      <x:c r="E25" s="9"/>
      <x:c r="F25" s="9"/>
      <x:c r="G25" s="9"/>
      <x:c r="H25" s="9"/>
      <x:c r="I25" s="9"/>
      <x:c r="J25" s="9"/>
      <x:c r="K25" s="9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9"/>
      <x:c r="D26" s="9"/>
      <x:c r="E26" s="9"/>
      <x:c r="F26" s="9"/>
      <x:c r="G26" s="9"/>
      <x:c r="H26" s="9"/>
      <x:c r="I26" s="9"/>
      <x:c r="J26" s="9"/>
      <x:c r="K26" s="9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9"/>
      <x:c r="D27" s="9"/>
      <x:c r="E27" s="9"/>
      <x:c r="F27" s="9"/>
      <x:c r="G27" s="9"/>
      <x:c r="H27" s="9"/>
      <x:c r="I27" s="9"/>
      <x:c r="J27" s="9"/>
      <x:c r="K27" s="9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9"/>
      <x:c r="D28" s="9"/>
      <x:c r="E28" s="9"/>
      <x:c r="F28" s="9"/>
      <x:c r="G28" s="9"/>
      <x:c r="H28" s="9"/>
      <x:c r="I28" s="9"/>
      <x:c r="J28" s="9"/>
      <x:c r="K28" s="9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9"/>
      <x:c r="D29" s="9"/>
      <x:c r="E29" s="9"/>
      <x:c r="F29" s="9"/>
      <x:c r="G29" s="9"/>
      <x:c r="H29" s="9"/>
      <x:c r="I29" s="9"/>
      <x:c r="J29" s="9"/>
      <x:c r="K29" s="9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9"/>
      <x:c r="D30" s="9"/>
      <x:c r="E30" s="9"/>
      <x:c r="F30" s="9"/>
      <x:c r="G30" s="9"/>
      <x:c r="H30" s="9"/>
      <x:c r="I30" s="9"/>
      <x:c r="J30" s="9"/>
      <x:c r="K30" s="9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9"/>
      <x:c r="D31" s="9"/>
      <x:c r="E31" s="9"/>
      <x:c r="F31" s="9"/>
      <x:c r="G31" s="9"/>
      <x:c r="H31" s="9"/>
      <x:c r="I31" s="9"/>
      <x:c r="J31" s="9"/>
      <x:c r="K31" s="9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9"/>
      <x:c r="D32" s="9"/>
      <x:c r="E32" s="9"/>
      <x:c r="F32" s="9"/>
      <x:c r="G32" s="9"/>
      <x:c r="H32" s="9"/>
      <x:c r="I32" s="9"/>
      <x:c r="J32" s="9"/>
      <x:c r="K32" s="9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9"/>
      <x:c r="D33" s="9"/>
      <x:c r="E33" s="9"/>
      <x:c r="F33" s="9"/>
      <x:c r="G33" s="9"/>
      <x:c r="H33" s="9"/>
      <x:c r="I33" s="9"/>
      <x:c r="J33" s="9"/>
      <x:c r="K33" s="9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9"/>
      <x:c r="D34" s="9"/>
      <x:c r="E34" s="9"/>
      <x:c r="F34" s="9"/>
      <x:c r="G34" s="9"/>
      <x:c r="H34" s="9"/>
      <x:c r="I34" s="9"/>
      <x:c r="J34" s="9"/>
      <x:c r="K34" s="9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9"/>
      <x:c r="D35" s="9"/>
      <x:c r="E35" s="9"/>
      <x:c r="F35" s="9"/>
      <x:c r="G35" s="9"/>
      <x:c r="H35" s="9"/>
      <x:c r="I35" s="9"/>
      <x:c r="J35" s="9"/>
      <x:c r="K35" s="9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9"/>
      <x:c r="D36" s="9"/>
      <x:c r="E36" s="9"/>
      <x:c r="F36" s="9"/>
      <x:c r="G36" s="9"/>
      <x:c r="H36" s="9"/>
      <x:c r="I36" s="9"/>
      <x:c r="J36" s="9"/>
      <x:c r="K36" s="9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9"/>
      <x:c r="D37" s="9"/>
      <x:c r="E37" s="9"/>
      <x:c r="F37" s="9"/>
      <x:c r="G37" s="9"/>
      <x:c r="H37" s="9"/>
      <x:c r="I37" s="9"/>
      <x:c r="J37" s="9"/>
      <x:c r="K37" s="9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9"/>
      <x:c r="D38" s="9"/>
      <x:c r="E38" s="9"/>
      <x:c r="F38" s="9"/>
      <x:c r="G38" s="9"/>
      <x:c r="H38" s="9"/>
      <x:c r="I38" s="9"/>
      <x:c r="J38" s="9"/>
      <x:c r="K38" s="9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9"/>
      <x:c r="D39" s="9"/>
      <x:c r="E39" s="9"/>
      <x:c r="F39" s="9"/>
      <x:c r="G39" s="9"/>
      <x:c r="H39" s="9"/>
      <x:c r="I39" s="9"/>
      <x:c r="J39" s="9"/>
      <x:c r="K39" s="9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9"/>
      <x:c r="D40" s="9"/>
      <x:c r="E40" s="9"/>
      <x:c r="F40" s="9"/>
      <x:c r="G40" s="9"/>
      <x:c r="H40" s="9"/>
      <x:c r="I40" s="9"/>
      <x:c r="J40" s="9"/>
      <x:c r="K40" s="9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9"/>
      <x:c r="D41" s="9"/>
      <x:c r="E41" s="9"/>
      <x:c r="F41" s="9"/>
      <x:c r="G41" s="9"/>
      <x:c r="H41" s="9"/>
      <x:c r="I41" s="9"/>
      <x:c r="J41" s="9"/>
      <x:c r="K41" s="9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9"/>
      <x:c r="D42" s="9"/>
      <x:c r="E42" s="9"/>
      <x:c r="F42" s="9"/>
      <x:c r="G42" s="9"/>
      <x:c r="H42" s="9"/>
      <x:c r="I42" s="9"/>
      <x:c r="J42" s="9"/>
      <x:c r="K42" s="9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9"/>
      <x:c r="D43" s="9"/>
      <x:c r="E43" s="9"/>
      <x:c r="F43" s="9"/>
      <x:c r="G43" s="9"/>
      <x:c r="H43" s="9"/>
      <x:c r="I43" s="9"/>
      <x:c r="J43" s="9"/>
      <x:c r="K43" s="9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9"/>
      <x:c r="D44" s="9"/>
      <x:c r="E44" s="9"/>
      <x:c r="F44" s="9"/>
      <x:c r="G44" s="9"/>
      <x:c r="H44" s="9"/>
      <x:c r="I44" s="9"/>
      <x:c r="J44" s="9"/>
      <x:c r="K44" s="9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9"/>
      <x:c r="D45" s="9"/>
      <x:c r="E45" s="9"/>
      <x:c r="F45" s="9"/>
      <x:c r="G45" s="9"/>
      <x:c r="H45" s="9"/>
      <x:c r="I45" s="9"/>
      <x:c r="J45" s="9"/>
      <x:c r="K45" s="9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9"/>
      <x:c r="D46" s="9"/>
      <x:c r="E46" s="9"/>
      <x:c r="F46" s="9"/>
      <x:c r="G46" s="9"/>
      <x:c r="H46" s="9"/>
      <x:c r="I46" s="9"/>
      <x:c r="J46" s="9"/>
      <x:c r="K46" s="9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9"/>
      <x:c r="D47" s="9"/>
      <x:c r="E47" s="9"/>
      <x:c r="F47" s="9"/>
      <x:c r="G47" s="9"/>
      <x:c r="H47" s="9"/>
      <x:c r="I47" s="9"/>
      <x:c r="J47" s="9"/>
      <x:c r="K47" s="9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9"/>
      <x:c r="D48" s="9"/>
      <x:c r="E48" s="9"/>
      <x:c r="F48" s="9"/>
      <x:c r="G48" s="9"/>
      <x:c r="H48" s="9"/>
      <x:c r="I48" s="9"/>
      <x:c r="J48" s="9"/>
      <x:c r="K48" s="9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9"/>
      <x:c r="D49" s="9"/>
      <x:c r="E49" s="9"/>
      <x:c r="F49" s="9"/>
      <x:c r="G49" s="9"/>
      <x:c r="H49" s="9"/>
      <x:c r="I49" s="9"/>
      <x:c r="J49" s="9"/>
      <x:c r="K49" s="9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9"/>
      <x:c r="D50" s="9"/>
      <x:c r="E50" s="9"/>
      <x:c r="F50" s="9"/>
      <x:c r="G50" s="9"/>
      <x:c r="H50" s="9"/>
      <x:c r="I50" s="9"/>
      <x:c r="J50" s="9"/>
      <x:c r="K50" s="9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9"/>
      <x:c r="D51" s="9"/>
      <x:c r="E51" s="9"/>
      <x:c r="F51" s="9"/>
      <x:c r="G51" s="9"/>
      <x:c r="H51" s="9"/>
      <x:c r="I51" s="9"/>
      <x:c r="J51" s="9"/>
      <x:c r="K51" s="9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9"/>
      <x:c r="D52" s="9"/>
      <x:c r="E52" s="9"/>
      <x:c r="F52" s="9"/>
      <x:c r="G52" s="9"/>
      <x:c r="H52" s="9"/>
      <x:c r="I52" s="9"/>
      <x:c r="J52" s="9"/>
      <x:c r="K52" s="9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9"/>
      <x:c r="D53" s="9"/>
      <x:c r="E53" s="9"/>
      <x:c r="F53" s="9"/>
      <x:c r="G53" s="9"/>
      <x:c r="H53" s="9"/>
      <x:c r="I53" s="9"/>
      <x:c r="J53" s="9"/>
      <x:c r="K53" s="9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9"/>
      <x:c r="D54" s="9"/>
      <x:c r="E54" s="9"/>
      <x:c r="F54" s="9"/>
      <x:c r="G54" s="9"/>
      <x:c r="H54" s="9"/>
      <x:c r="I54" s="9"/>
      <x:c r="J54" s="9"/>
      <x:c r="K54" s="9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9"/>
      <x:c r="D55" s="9"/>
      <x:c r="E55" s="9"/>
      <x:c r="F55" s="9"/>
      <x:c r="G55" s="9"/>
      <x:c r="H55" s="9"/>
      <x:c r="I55" s="9"/>
      <x:c r="J55" s="9"/>
      <x:c r="K55" s="9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9"/>
      <x:c r="D56" s="9"/>
      <x:c r="E56" s="9"/>
      <x:c r="F56" s="9"/>
      <x:c r="G56" s="9"/>
      <x:c r="H56" s="9"/>
      <x:c r="I56" s="9"/>
      <x:c r="J56" s="9"/>
      <x:c r="K56" s="9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9"/>
      <x:c r="D57" s="9"/>
      <x:c r="E57" s="9"/>
      <x:c r="F57" s="9"/>
      <x:c r="G57" s="9"/>
      <x:c r="H57" s="9"/>
      <x:c r="I57" s="9"/>
      <x:c r="J57" s="9"/>
      <x:c r="K57" s="9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9"/>
      <x:c r="D58" s="9"/>
      <x:c r="E58" s="9"/>
      <x:c r="F58" s="9"/>
      <x:c r="G58" s="9"/>
      <x:c r="H58" s="9"/>
      <x:c r="I58" s="9"/>
      <x:c r="J58" s="9"/>
      <x:c r="K58" s="9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9"/>
      <x:c r="D59" s="9"/>
      <x:c r="E59" s="9"/>
      <x:c r="F59" s="9"/>
      <x:c r="G59" s="9"/>
      <x:c r="H59" s="9"/>
      <x:c r="I59" s="9"/>
      <x:c r="J59" s="9"/>
      <x:c r="K59" s="9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9"/>
      <x:c r="D60" s="9"/>
      <x:c r="E60" s="9"/>
      <x:c r="F60" s="9"/>
      <x:c r="G60" s="9"/>
      <x:c r="H60" s="9"/>
      <x:c r="I60" s="9"/>
      <x:c r="J60" s="9"/>
      <x:c r="K60" s="9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9"/>
      <x:c r="D61" s="9"/>
      <x:c r="E61" s="9"/>
      <x:c r="F61" s="9"/>
      <x:c r="G61" s="9"/>
      <x:c r="H61" s="9"/>
      <x:c r="I61" s="9"/>
      <x:c r="J61" s="9"/>
      <x:c r="K61" s="9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9"/>
      <x:c r="D62" s="9"/>
      <x:c r="E62" s="9"/>
      <x:c r="F62" s="9"/>
      <x:c r="G62" s="9"/>
      <x:c r="H62" s="9"/>
      <x:c r="I62" s="9"/>
      <x:c r="J62" s="9"/>
      <x:c r="K62" s="9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9"/>
      <x:c r="D63" s="9"/>
      <x:c r="E63" s="9"/>
      <x:c r="F63" s="9"/>
      <x:c r="G63" s="9"/>
      <x:c r="H63" s="9"/>
      <x:c r="I63" s="9"/>
      <x:c r="J63" s="9"/>
      <x:c r="K63" s="9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9"/>
      <x:c r="D64" s="9"/>
      <x:c r="E64" s="9"/>
      <x:c r="F64" s="9"/>
      <x:c r="G64" s="9"/>
      <x:c r="H64" s="9"/>
      <x:c r="I64" s="9"/>
      <x:c r="J64" s="9"/>
      <x:c r="K64" s="9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9"/>
      <x:c r="D65" s="9"/>
      <x:c r="E65" s="9"/>
      <x:c r="F65" s="9"/>
      <x:c r="G65" s="9"/>
      <x:c r="H65" s="9"/>
      <x:c r="I65" s="9"/>
      <x:c r="J65" s="9"/>
      <x:c r="K65" s="9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9"/>
      <x:c r="D66" s="9"/>
      <x:c r="E66" s="9"/>
      <x:c r="F66" s="9"/>
      <x:c r="G66" s="9"/>
      <x:c r="H66" s="9"/>
      <x:c r="I66" s="9"/>
      <x:c r="J66" s="9"/>
      <x:c r="K66" s="9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9"/>
      <x:c r="D67" s="9"/>
      <x:c r="E67" s="9"/>
      <x:c r="F67" s="9"/>
      <x:c r="G67" s="9"/>
      <x:c r="H67" s="9"/>
      <x:c r="I67" s="9"/>
      <x:c r="J67" s="9"/>
      <x:c r="K67" s="9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9"/>
      <x:c r="D68" s="9"/>
      <x:c r="E68" s="9"/>
      <x:c r="F68" s="9"/>
      <x:c r="G68" s="9"/>
      <x:c r="H68" s="9"/>
      <x:c r="I68" s="9"/>
      <x:c r="J68" s="9"/>
      <x:c r="K68" s="9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9"/>
      <x:c r="D69" s="9"/>
      <x:c r="E69" s="9"/>
      <x:c r="F69" s="9"/>
      <x:c r="G69" s="9"/>
      <x:c r="H69" s="9"/>
      <x:c r="I69" s="9"/>
      <x:c r="J69" s="9"/>
      <x:c r="K69" s="9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9"/>
      <x:c r="D70" s="9"/>
      <x:c r="E70" s="9"/>
      <x:c r="F70" s="9"/>
      <x:c r="G70" s="9"/>
      <x:c r="H70" s="9"/>
      <x:c r="I70" s="9"/>
      <x:c r="J70" s="9"/>
      <x:c r="K70" s="9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9"/>
      <x:c r="D71" s="9"/>
      <x:c r="E71" s="9"/>
      <x:c r="F71" s="9"/>
      <x:c r="G71" s="9"/>
      <x:c r="H71" s="9"/>
      <x:c r="I71" s="9"/>
      <x:c r="J71" s="9"/>
      <x:c r="K71" s="9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9"/>
      <x:c r="D72" s="9"/>
      <x:c r="E72" s="9"/>
      <x:c r="F72" s="9"/>
      <x:c r="G72" s="9"/>
      <x:c r="H72" s="9"/>
      <x:c r="I72" s="9"/>
      <x:c r="J72" s="9"/>
      <x:c r="K72" s="9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9"/>
      <x:c r="D73" s="9"/>
      <x:c r="E73" s="9"/>
      <x:c r="F73" s="9"/>
      <x:c r="G73" s="9"/>
      <x:c r="H73" s="9"/>
      <x:c r="I73" s="9"/>
      <x:c r="J73" s="9"/>
      <x:c r="K73" s="9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9"/>
      <x:c r="D74" s="9"/>
      <x:c r="E74" s="9"/>
      <x:c r="F74" s="9"/>
      <x:c r="G74" s="9"/>
      <x:c r="H74" s="9"/>
      <x:c r="I74" s="9"/>
      <x:c r="J74" s="9"/>
      <x:c r="K74" s="9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9"/>
      <x:c r="D75" s="9"/>
      <x:c r="E75" s="9"/>
      <x:c r="F75" s="9"/>
      <x:c r="G75" s="9"/>
      <x:c r="H75" s="9"/>
      <x:c r="I75" s="9"/>
      <x:c r="J75" s="9"/>
      <x:c r="K75" s="9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9"/>
      <x:c r="D76" s="9"/>
      <x:c r="E76" s="9"/>
      <x:c r="F76" s="9"/>
      <x:c r="G76" s="9"/>
      <x:c r="H76" s="9"/>
      <x:c r="I76" s="9"/>
      <x:c r="J76" s="9"/>
      <x:c r="K76" s="9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9"/>
      <x:c r="D77" s="9"/>
      <x:c r="E77" s="9"/>
      <x:c r="F77" s="9"/>
      <x:c r="G77" s="9"/>
      <x:c r="H77" s="9"/>
      <x:c r="I77" s="9"/>
      <x:c r="J77" s="9"/>
      <x:c r="K77" s="9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9"/>
      <x:c r="D78" s="9"/>
      <x:c r="E78" s="9"/>
      <x:c r="F78" s="9"/>
      <x:c r="G78" s="9"/>
      <x:c r="H78" s="9"/>
      <x:c r="I78" s="9"/>
      <x:c r="J78" s="9"/>
      <x:c r="K78" s="9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9"/>
      <x:c r="D79" s="9"/>
      <x:c r="E79" s="9"/>
      <x:c r="F79" s="9"/>
      <x:c r="G79" s="9"/>
      <x:c r="H79" s="9"/>
      <x:c r="I79" s="9"/>
      <x:c r="J79" s="9"/>
      <x:c r="K79" s="9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9"/>
      <x:c r="D80" s="9"/>
      <x:c r="E80" s="9"/>
      <x:c r="F80" s="9"/>
      <x:c r="G80" s="9"/>
      <x:c r="H80" s="9"/>
      <x:c r="I80" s="9"/>
      <x:c r="J80" s="9"/>
      <x:c r="K80" s="9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9"/>
      <x:c r="D81" s="9"/>
      <x:c r="E81" s="9"/>
      <x:c r="F81" s="9"/>
      <x:c r="G81" s="9"/>
      <x:c r="H81" s="9"/>
      <x:c r="I81" s="9"/>
      <x:c r="J81" s="9"/>
      <x:c r="K81" s="9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9"/>
      <x:c r="D82" s="9"/>
      <x:c r="E82" s="9"/>
      <x:c r="F82" s="9"/>
      <x:c r="G82" s="9"/>
      <x:c r="H82" s="9"/>
      <x:c r="I82" s="9"/>
      <x:c r="J82" s="9"/>
      <x:c r="K82" s="9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9"/>
      <x:c r="D83" s="9"/>
      <x:c r="E83" s="9"/>
      <x:c r="F83" s="9"/>
      <x:c r="G83" s="9"/>
      <x:c r="H83" s="9"/>
      <x:c r="I83" s="9"/>
      <x:c r="J83" s="9"/>
      <x:c r="K83" s="9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9"/>
      <x:c r="D84" s="9"/>
      <x:c r="E84" s="9"/>
      <x:c r="F84" s="9"/>
      <x:c r="G84" s="9"/>
      <x:c r="H84" s="9"/>
      <x:c r="I84" s="9"/>
      <x:c r="J84" s="9"/>
      <x:c r="K84" s="9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9"/>
      <x:c r="D85" s="9"/>
      <x:c r="E85" s="9"/>
      <x:c r="F85" s="9"/>
      <x:c r="G85" s="9"/>
      <x:c r="H85" s="9"/>
      <x:c r="I85" s="9"/>
      <x:c r="J85" s="9"/>
      <x:c r="K85" s="9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9"/>
      <x:c r="D86" s="9"/>
      <x:c r="E86" s="9"/>
      <x:c r="F86" s="9"/>
      <x:c r="G86" s="9"/>
      <x:c r="H86" s="9"/>
      <x:c r="I86" s="9"/>
      <x:c r="J86" s="9"/>
      <x:c r="K86" s="9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9"/>
      <x:c r="D87" s="9"/>
      <x:c r="E87" s="9"/>
      <x:c r="F87" s="9"/>
      <x:c r="G87" s="9"/>
      <x:c r="H87" s="9"/>
      <x:c r="I87" s="9"/>
      <x:c r="J87" s="9"/>
      <x:c r="K87" s="9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9"/>
      <x:c r="D88" s="9"/>
      <x:c r="E88" s="9"/>
      <x:c r="F88" s="9"/>
      <x:c r="G88" s="9"/>
      <x:c r="H88" s="9"/>
      <x:c r="I88" s="9"/>
      <x:c r="J88" s="9"/>
      <x:c r="K88" s="9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9"/>
      <x:c r="D89" s="9"/>
      <x:c r="E89" s="9"/>
      <x:c r="F89" s="9"/>
      <x:c r="G89" s="9"/>
      <x:c r="H89" s="9"/>
      <x:c r="I89" s="9"/>
      <x:c r="J89" s="9"/>
      <x:c r="K89" s="9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9"/>
      <x:c r="D90" s="9"/>
      <x:c r="E90" s="9"/>
      <x:c r="F90" s="9"/>
      <x:c r="G90" s="9"/>
      <x:c r="H90" s="9"/>
      <x:c r="I90" s="9"/>
      <x:c r="J90" s="9"/>
      <x:c r="K90" s="9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9"/>
      <x:c r="D91" s="9"/>
      <x:c r="E91" s="9"/>
      <x:c r="F91" s="9"/>
      <x:c r="G91" s="9"/>
      <x:c r="H91" s="9"/>
      <x:c r="I91" s="9"/>
      <x:c r="J91" s="9"/>
      <x:c r="K91" s="9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9"/>
      <x:c r="D92" s="9"/>
      <x:c r="E92" s="9"/>
      <x:c r="F92" s="9"/>
      <x:c r="G92" s="9"/>
      <x:c r="H92" s="9"/>
      <x:c r="I92" s="9"/>
      <x:c r="J92" s="9"/>
      <x:c r="K92" s="9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9"/>
      <x:c r="D93" s="9"/>
      <x:c r="E93" s="9"/>
      <x:c r="F93" s="9"/>
      <x:c r="G93" s="9"/>
      <x:c r="H93" s="9"/>
      <x:c r="I93" s="9"/>
      <x:c r="J93" s="9"/>
      <x:c r="K93" s="9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9"/>
      <x:c r="D94" s="9"/>
      <x:c r="E94" s="9"/>
      <x:c r="F94" s="9"/>
      <x:c r="G94" s="9"/>
      <x:c r="H94" s="9"/>
      <x:c r="I94" s="9"/>
      <x:c r="J94" s="9"/>
      <x:c r="K94" s="9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9"/>
      <x:c r="D95" s="9"/>
      <x:c r="E95" s="9"/>
      <x:c r="F95" s="9"/>
      <x:c r="G95" s="9"/>
      <x:c r="H95" s="9"/>
      <x:c r="I95" s="9"/>
      <x:c r="J95" s="9"/>
      <x:c r="K95" s="9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9"/>
      <x:c r="D96" s="9"/>
      <x:c r="E96" s="9"/>
      <x:c r="F96" s="9"/>
      <x:c r="G96" s="9"/>
      <x:c r="H96" s="9"/>
      <x:c r="I96" s="9"/>
      <x:c r="J96" s="9"/>
      <x:c r="K96" s="9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9"/>
      <x:c r="D97" s="9"/>
      <x:c r="E97" s="9"/>
      <x:c r="F97" s="9"/>
      <x:c r="G97" s="9"/>
      <x:c r="H97" s="9"/>
      <x:c r="I97" s="9"/>
      <x:c r="J97" s="9"/>
      <x:c r="K97" s="9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9"/>
      <x:c r="D98" s="9"/>
      <x:c r="E98" s="9"/>
      <x:c r="F98" s="9"/>
      <x:c r="G98" s="9"/>
      <x:c r="H98" s="9"/>
      <x:c r="I98" s="9"/>
      <x:c r="J98" s="9"/>
      <x:c r="K98" s="9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9"/>
      <x:c r="D99" s="9"/>
      <x:c r="E99" s="9"/>
      <x:c r="F99" s="9"/>
      <x:c r="G99" s="9"/>
      <x:c r="H99" s="9"/>
      <x:c r="I99" s="9"/>
      <x:c r="J99" s="9"/>
      <x:c r="K99" s="9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9"/>
      <x:c r="D100" s="9"/>
      <x:c r="E100" s="9"/>
      <x:c r="F100" s="9"/>
      <x:c r="G100" s="9"/>
      <x:c r="H100" s="9"/>
      <x:c r="I100" s="9"/>
      <x:c r="J100" s="9"/>
      <x:c r="K100" s="9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9"/>
      <x:c r="D101" s="9"/>
      <x:c r="E101" s="9"/>
      <x:c r="F101" s="9"/>
      <x:c r="G101" s="9"/>
      <x:c r="H101" s="9"/>
      <x:c r="I101" s="9"/>
      <x:c r="J101" s="9"/>
      <x:c r="K101" s="9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9"/>
      <x:c r="D102" s="9"/>
      <x:c r="E102" s="9"/>
      <x:c r="F102" s="9"/>
      <x:c r="G102" s="9"/>
      <x:c r="H102" s="9"/>
      <x:c r="I102" s="9"/>
      <x:c r="J102" s="9"/>
      <x:c r="K102" s="9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9"/>
      <x:c r="D103" s="9"/>
      <x:c r="E103" s="9"/>
      <x:c r="F103" s="9"/>
      <x:c r="G103" s="9"/>
      <x:c r="H103" s="9"/>
      <x:c r="I103" s="9"/>
      <x:c r="J103" s="9"/>
      <x:c r="K103" s="9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9"/>
      <x:c r="D104" s="9"/>
      <x:c r="E104" s="9"/>
      <x:c r="F104" s="9"/>
      <x:c r="G104" s="9"/>
      <x:c r="H104" s="9"/>
      <x:c r="I104" s="9"/>
      <x:c r="J104" s="9"/>
      <x:c r="K104" s="9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9"/>
      <x:c r="D105" s="9"/>
      <x:c r="E105" s="9"/>
      <x:c r="F105" s="9"/>
      <x:c r="G105" s="9"/>
      <x:c r="H105" s="9"/>
      <x:c r="I105" s="9"/>
      <x:c r="J105" s="9"/>
      <x:c r="K105" s="9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9"/>
      <x:c r="D106" s="9"/>
      <x:c r="E106" s="9"/>
      <x:c r="F106" s="9"/>
      <x:c r="G106" s="9"/>
      <x:c r="H106" s="9"/>
      <x:c r="I106" s="9"/>
      <x:c r="J106" s="9"/>
      <x:c r="K106" s="9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9"/>
      <x:c r="D107" s="9"/>
      <x:c r="E107" s="9"/>
      <x:c r="F107" s="9"/>
      <x:c r="G107" s="9"/>
      <x:c r="H107" s="9"/>
      <x:c r="I107" s="9"/>
      <x:c r="J107" s="9"/>
      <x:c r="K107" s="9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9"/>
      <x:c r="D108" s="9"/>
      <x:c r="E108" s="9"/>
      <x:c r="F108" s="9"/>
      <x:c r="G108" s="9"/>
      <x:c r="H108" s="9"/>
      <x:c r="I108" s="9"/>
      <x:c r="J108" s="9"/>
      <x:c r="K108" s="9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9"/>
      <x:c r="D109" s="9"/>
      <x:c r="E109" s="9"/>
      <x:c r="F109" s="9"/>
      <x:c r="G109" s="9"/>
      <x:c r="H109" s="9"/>
      <x:c r="I109" s="9"/>
      <x:c r="J109" s="9"/>
      <x:c r="K109" s="9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9"/>
      <x:c r="D110" s="9"/>
      <x:c r="E110" s="9"/>
      <x:c r="F110" s="9"/>
      <x:c r="G110" s="9"/>
      <x:c r="H110" s="9"/>
      <x:c r="I110" s="9"/>
      <x:c r="J110" s="9"/>
      <x:c r="K110" s="9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9"/>
      <x:c r="D111" s="9"/>
      <x:c r="E111" s="9"/>
      <x:c r="F111" s="9"/>
      <x:c r="G111" s="9"/>
      <x:c r="H111" s="9"/>
      <x:c r="I111" s="9"/>
      <x:c r="J111" s="9"/>
      <x:c r="K111" s="9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9"/>
      <x:c r="D112" s="9"/>
      <x:c r="E112" s="9"/>
      <x:c r="F112" s="9"/>
      <x:c r="G112" s="9"/>
      <x:c r="H112" s="9"/>
      <x:c r="I112" s="9"/>
      <x:c r="J112" s="9"/>
      <x:c r="K112" s="9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9"/>
      <x:c r="D113" s="9"/>
      <x:c r="E113" s="9"/>
      <x:c r="F113" s="9"/>
      <x:c r="G113" s="9"/>
      <x:c r="H113" s="9"/>
      <x:c r="I113" s="9"/>
      <x:c r="J113" s="9"/>
      <x:c r="K113" s="9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9"/>
      <x:c r="D114" s="9"/>
      <x:c r="E114" s="9"/>
      <x:c r="F114" s="9"/>
      <x:c r="G114" s="9"/>
      <x:c r="H114" s="9"/>
      <x:c r="I114" s="9"/>
      <x:c r="J114" s="9"/>
      <x:c r="K114" s="9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9"/>
      <x:c r="D115" s="9"/>
      <x:c r="E115" s="9"/>
      <x:c r="F115" s="9"/>
      <x:c r="G115" s="9"/>
      <x:c r="H115" s="9"/>
      <x:c r="I115" s="9"/>
      <x:c r="J115" s="9"/>
      <x:c r="K115" s="9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9"/>
      <x:c r="D116" s="9"/>
      <x:c r="E116" s="9"/>
      <x:c r="F116" s="9"/>
      <x:c r="G116" s="9"/>
      <x:c r="H116" s="9"/>
      <x:c r="I116" s="9"/>
      <x:c r="J116" s="9"/>
      <x:c r="K116" s="9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9"/>
      <x:c r="D117" s="9"/>
      <x:c r="E117" s="9"/>
      <x:c r="F117" s="9"/>
      <x:c r="G117" s="9"/>
      <x:c r="H117" s="9"/>
      <x:c r="I117" s="9"/>
      <x:c r="J117" s="9"/>
      <x:c r="K117" s="9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9"/>
      <x:c r="D118" s="9"/>
      <x:c r="E118" s="9"/>
      <x:c r="F118" s="9"/>
      <x:c r="G118" s="9"/>
      <x:c r="H118" s="9"/>
      <x:c r="I118" s="9"/>
      <x:c r="J118" s="9"/>
      <x:c r="K118" s="9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9"/>
      <x:c r="D119" s="9"/>
      <x:c r="E119" s="9"/>
      <x:c r="F119" s="9"/>
      <x:c r="G119" s="9"/>
      <x:c r="H119" s="9"/>
      <x:c r="I119" s="9"/>
      <x:c r="J119" s="9"/>
      <x:c r="K119" s="9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9"/>
      <x:c r="D120" s="9"/>
      <x:c r="E120" s="9"/>
      <x:c r="F120" s="9"/>
      <x:c r="G120" s="9"/>
      <x:c r="H120" s="9"/>
      <x:c r="I120" s="9"/>
      <x:c r="J120" s="9"/>
      <x:c r="K120" s="9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C121" s="8"/>
      <x:c r="D121" s="8"/>
      <x:c r="E121" s="8"/>
      <x:c r="F121" s="8"/>
      <x:c r="G121" s="8"/>
      <x:c r="H121" s="8"/>
      <x:c r="I121" s="8"/>
      <x:c r="J121" s="8"/>
      <x:c r="K121" s="8"/>
    </x:row>
    <x:row r="122">
      <x:c r="C122" s="8"/>
      <x:c r="D122" s="8"/>
      <x:c r="E122" s="8"/>
      <x:c r="F122" s="8"/>
      <x:c r="G122" s="8"/>
      <x:c r="H122" s="8"/>
      <x:c r="I122" s="8"/>
      <x:c r="J122" s="8"/>
      <x:c r="K122" s="8"/>
    </x:row>
    <x:row r="123">
      <x:c r="C123" s="8"/>
      <x:c r="D123" s="8"/>
      <x:c r="E123" s="8"/>
      <x:c r="F123" s="8"/>
      <x:c r="G123" s="8"/>
      <x:c r="H123" s="8"/>
      <x:c r="I123" s="8"/>
      <x:c r="J123" s="8"/>
      <x:c r="K123" s="8"/>
    </x:row>
    <x:row r="124">
      <x:c r="C124" s="8"/>
      <x:c r="D124" s="8"/>
      <x:c r="E124" s="8"/>
      <x:c r="F124" s="8"/>
      <x:c r="G124" s="8"/>
      <x:c r="H124" s="8"/>
      <x:c r="I124" s="8"/>
      <x:c r="J124" s="8"/>
      <x:c r="K124" s="8"/>
    </x:row>
    <x:row r="125">
      <x:c r="C125" s="8"/>
      <x:c r="D125" s="8"/>
      <x:c r="E125" s="8"/>
      <x:c r="F125" s="8"/>
      <x:c r="G125" s="8"/>
      <x:c r="H125" s="8"/>
      <x:c r="I125" s="8"/>
      <x:c r="J125" s="8"/>
      <x:c r="K125" s="8"/>
    </x:row>
    <x:row r="126">
      <x:c r="C126" s="8"/>
      <x:c r="D126" s="8"/>
      <x:c r="E126" s="8"/>
      <x:c r="F126" s="8"/>
      <x:c r="G126" s="8"/>
      <x:c r="H126" s="8"/>
      <x:c r="I126" s="8"/>
      <x:c r="J126" s="8"/>
      <x:c r="K126" s="8"/>
    </x:row>
    <x:row r="127">
      <x:c r="C127" s="8"/>
      <x:c r="D127" s="8"/>
      <x:c r="E127" s="8"/>
      <x:c r="F127" s="8"/>
      <x:c r="G127" s="8"/>
      <x:c r="H127" s="8"/>
      <x:c r="I127" s="8"/>
      <x:c r="J127" s="8"/>
      <x:c r="K127" s="8"/>
    </x:row>
    <x:row r="128">
      <x:c r="C128" s="8"/>
      <x:c r="D128" s="8"/>
      <x:c r="E128" s="8"/>
      <x:c r="F128" s="8"/>
      <x:c r="G128" s="8"/>
      <x:c r="H128" s="8"/>
      <x:c r="I128" s="8"/>
      <x:c r="J128" s="8"/>
      <x:c r="K128" s="8"/>
    </x:row>
    <x:row r="129">
      <x:c r="C129" s="8"/>
      <x:c r="D129" s="8"/>
      <x:c r="E129" s="8"/>
      <x:c r="F129" s="8"/>
      <x:c r="G129" s="8"/>
      <x:c r="H129" s="8"/>
      <x:c r="I129" s="8"/>
      <x:c r="J129" s="8"/>
      <x:c r="K129" s="8"/>
    </x:row>
    <x:row r="130">
      <x:c r="C130" s="8"/>
      <x:c r="D130" s="8"/>
      <x:c r="E130" s="8"/>
      <x:c r="F130" s="8"/>
      <x:c r="G130" s="8"/>
      <x:c r="H130" s="8"/>
      <x:c r="I130" s="8"/>
      <x:c r="J130" s="8"/>
      <x:c r="K130" s="8"/>
    </x:row>
    <x:row r="131">
      <x:c r="C131" s="8"/>
      <x:c r="D131" s="8"/>
      <x:c r="E131" s="8"/>
      <x:c r="F131" s="8"/>
      <x:c r="G131" s="8"/>
      <x:c r="H131" s="8"/>
      <x:c r="I131" s="8"/>
      <x:c r="J131" s="8"/>
      <x:c r="K131" s="8"/>
    </x:row>
    <x:row r="132">
      <x:c r="C132" s="8"/>
      <x:c r="D132" s="8"/>
      <x:c r="E132" s="8"/>
      <x:c r="F132" s="8"/>
      <x:c r="G132" s="8"/>
      <x:c r="H132" s="8"/>
      <x:c r="I132" s="8"/>
      <x:c r="J132" s="8"/>
      <x:c r="K132" s="8"/>
    </x:row>
    <x:row r="133">
      <x:c r="C133" s="8"/>
      <x:c r="D133" s="8"/>
      <x:c r="E133" s="8"/>
      <x:c r="F133" s="8"/>
      <x:c r="G133" s="8"/>
      <x:c r="H133" s="8"/>
      <x:c r="I133" s="8"/>
      <x:c r="J133" s="8"/>
      <x:c r="K133" s="8"/>
    </x:row>
    <x:row r="134">
      <x:c r="C134" s="8"/>
      <x:c r="D134" s="8"/>
      <x:c r="E134" s="8"/>
      <x:c r="F134" s="8"/>
      <x:c r="G134" s="8"/>
      <x:c r="H134" s="8"/>
      <x:c r="I134" s="8"/>
      <x:c r="J134" s="8"/>
      <x:c r="K134" s="8"/>
    </x:row>
    <x:row r="135">
      <x:c r="C135" s="8"/>
      <x:c r="D135" s="8"/>
      <x:c r="E135" s="8"/>
      <x:c r="F135" s="8"/>
      <x:c r="G135" s="8"/>
      <x:c r="H135" s="8"/>
      <x:c r="I135" s="8"/>
      <x:c r="J135" s="8"/>
      <x:c r="K135" s="8"/>
    </x:row>
    <x:row r="136">
      <x:c r="C136" s="8"/>
      <x:c r="D136" s="8"/>
      <x:c r="E136" s="8"/>
      <x:c r="F136" s="8"/>
      <x:c r="G136" s="8"/>
      <x:c r="H136" s="8"/>
      <x:c r="I136" s="8"/>
      <x:c r="J136" s="8"/>
      <x:c r="K136" s="8"/>
    </x:row>
    <x:row r="137">
      <x:c r="C137" s="8"/>
      <x:c r="D137" s="8"/>
      <x:c r="E137" s="8"/>
      <x:c r="F137" s="8"/>
      <x:c r="G137" s="8"/>
      <x:c r="H137" s="8"/>
      <x:c r="I137" s="8"/>
      <x:c r="J137" s="8"/>
      <x:c r="K137" s="8"/>
    </x:row>
    <x:row r="138">
      <x:c r="C138" s="8"/>
      <x:c r="D138" s="8"/>
      <x:c r="E138" s="8"/>
      <x:c r="F138" s="8"/>
      <x:c r="G138" s="8"/>
      <x:c r="H138" s="8"/>
      <x:c r="I138" s="8"/>
      <x:c r="J138" s="8"/>
      <x:c r="K138" s="8"/>
    </x:row>
    <x:row r="139">
      <x:c r="C139" s="8"/>
      <x:c r="D139" s="8"/>
      <x:c r="E139" s="8"/>
      <x:c r="F139" s="8"/>
      <x:c r="G139" s="8"/>
      <x:c r="H139" s="8"/>
      <x:c r="I139" s="8"/>
      <x:c r="J139" s="8"/>
      <x:c r="K139" s="8"/>
    </x:row>
    <x:row r="140">
      <x:c r="C140" s="8"/>
      <x:c r="D140" s="8"/>
      <x:c r="E140" s="8"/>
      <x:c r="F140" s="8"/>
      <x:c r="G140" s="8"/>
      <x:c r="H140" s="8"/>
      <x:c r="I140" s="8"/>
      <x:c r="J140" s="8"/>
      <x:c r="K140" s="8"/>
    </x:row>
    <x:row r="141">
      <x:c r="C141" s="8"/>
      <x:c r="D141" s="8"/>
      <x:c r="E141" s="8"/>
      <x:c r="F141" s="8"/>
      <x:c r="G141" s="8"/>
      <x:c r="H141" s="8"/>
      <x:c r="I141" s="8"/>
      <x:c r="J141" s="8"/>
      <x:c r="K141" s="8"/>
    </x:row>
    <x:row r="142">
      <x:c r="C142" s="8"/>
      <x:c r="D142" s="8"/>
      <x:c r="E142" s="8"/>
      <x:c r="F142" s="8"/>
      <x:c r="G142" s="8"/>
      <x:c r="H142" s="8"/>
      <x:c r="I142" s="8"/>
      <x:c r="J142" s="8"/>
      <x:c r="K142" s="8"/>
    </x:row>
    <x:row r="143">
      <x:c r="C143" s="8"/>
      <x:c r="D143" s="8"/>
      <x:c r="E143" s="8"/>
      <x:c r="F143" s="8"/>
      <x:c r="G143" s="8"/>
      <x:c r="H143" s="8"/>
      <x:c r="I143" s="8"/>
      <x:c r="J143" s="8"/>
      <x:c r="K143" s="8"/>
    </x:row>
    <x:row r="144">
      <x:c r="C144" s="8"/>
      <x:c r="D144" s="8"/>
      <x:c r="E144" s="8"/>
      <x:c r="F144" s="8"/>
      <x:c r="G144" s="8"/>
      <x:c r="H144" s="8"/>
      <x:c r="I144" s="8"/>
      <x:c r="J144" s="8"/>
      <x:c r="K144" s="8"/>
    </x:row>
    <x:row r="145">
      <x:c r="C145" s="8"/>
      <x:c r="D145" s="8"/>
      <x:c r="E145" s="8"/>
      <x:c r="F145" s="8"/>
      <x:c r="G145" s="8"/>
      <x:c r="H145" s="8"/>
      <x:c r="I145" s="8"/>
      <x:c r="J145" s="8"/>
      <x:c r="K145" s="8"/>
    </x:row>
    <x:row r="146">
      <x:c r="C146" s="8"/>
      <x:c r="D146" s="8"/>
      <x:c r="E146" s="8"/>
      <x:c r="F146" s="8"/>
      <x:c r="G146" s="8"/>
      <x:c r="H146" s="8"/>
      <x:c r="I146" s="8"/>
      <x:c r="J146" s="8"/>
      <x:c r="K146" s="8"/>
    </x:row>
    <x:row r="147">
      <x:c r="C147" s="8"/>
      <x:c r="D147" s="8"/>
      <x:c r="E147" s="8"/>
      <x:c r="F147" s="8"/>
      <x:c r="G147" s="8"/>
      <x:c r="H147" s="8"/>
      <x:c r="I147" s="8"/>
      <x:c r="J147" s="8"/>
      <x:c r="K147" s="8"/>
    </x:row>
    <x:row r="148">
      <x:c r="C148" s="8"/>
      <x:c r="D148" s="8"/>
      <x:c r="E148" s="8"/>
      <x:c r="F148" s="8"/>
      <x:c r="G148" s="8"/>
      <x:c r="H148" s="8"/>
      <x:c r="I148" s="8"/>
      <x:c r="J148" s="8"/>
      <x:c r="K148" s="8"/>
    </x:row>
    <x:row r="149">
      <x:c r="C149" s="8"/>
      <x:c r="D149" s="8"/>
      <x:c r="E149" s="8"/>
      <x:c r="F149" s="8"/>
      <x:c r="G149" s="8"/>
      <x:c r="H149" s="8"/>
      <x:c r="I149" s="8"/>
      <x:c r="J149" s="8"/>
      <x:c r="K149" s="8"/>
    </x:row>
    <x:row r="150">
      <x:c r="C150" s="8"/>
      <x:c r="D150" s="8"/>
      <x:c r="E150" s="8"/>
      <x:c r="F150" s="8"/>
      <x:c r="G150" s="8"/>
      <x:c r="H150" s="8"/>
      <x:c r="I150" s="8"/>
      <x:c r="J150" s="8"/>
      <x:c r="K150" s="8"/>
    </x:row>
    <x:row r="151">
      <x:c r="C151" s="8"/>
      <x:c r="D151" s="8"/>
      <x:c r="E151" s="8"/>
      <x:c r="F151" s="8"/>
      <x:c r="G151" s="8"/>
      <x:c r="H151" s="8"/>
      <x:c r="I151" s="8"/>
      <x:c r="J151" s="8"/>
      <x:c r="K151" s="8"/>
    </x:row>
    <x:row r="152">
      <x:c r="C152" s="8"/>
      <x:c r="D152" s="8"/>
      <x:c r="E152" s="8"/>
      <x:c r="F152" s="8"/>
      <x:c r="G152" s="8"/>
      <x:c r="H152" s="8"/>
      <x:c r="I152" s="8"/>
      <x:c r="J152" s="8"/>
      <x:c r="K152" s="8"/>
    </x:row>
    <x:row r="153">
      <x:c r="C153" s="8"/>
      <x:c r="D153" s="8"/>
      <x:c r="E153" s="8"/>
      <x:c r="F153" s="8"/>
      <x:c r="G153" s="8"/>
      <x:c r="H153" s="8"/>
      <x:c r="I153" s="8"/>
      <x:c r="J153" s="8"/>
      <x:c r="K153" s="8"/>
    </x:row>
    <x:row r="154">
      <x:c r="C154" s="8"/>
      <x:c r="D154" s="8"/>
      <x:c r="E154" s="8"/>
      <x:c r="F154" s="8"/>
      <x:c r="G154" s="8"/>
      <x:c r="H154" s="8"/>
      <x:c r="I154" s="8"/>
      <x:c r="J154" s="8"/>
      <x:c r="K154" s="8"/>
    </x:row>
    <x:row r="155">
      <x:c r="C155" s="8"/>
      <x:c r="D155" s="8"/>
      <x:c r="E155" s="8"/>
      <x:c r="F155" s="8"/>
      <x:c r="G155" s="8"/>
      <x:c r="H155" s="8"/>
      <x:c r="I155" s="8"/>
      <x:c r="J155" s="8"/>
      <x:c r="K155" s="8"/>
    </x:row>
    <x:row r="156">
      <x:c r="C156" s="8"/>
      <x:c r="D156" s="8"/>
      <x:c r="E156" s="8"/>
      <x:c r="F156" s="8"/>
      <x:c r="G156" s="8"/>
      <x:c r="H156" s="8"/>
      <x:c r="I156" s="8"/>
      <x:c r="J156" s="8"/>
      <x:c r="K156" s="8"/>
    </x:row>
    <x:row r="157">
      <x:c r="C157" s="8"/>
      <x:c r="D157" s="8"/>
      <x:c r="E157" s="8"/>
      <x:c r="F157" s="8"/>
      <x:c r="G157" s="8"/>
      <x:c r="H157" s="8"/>
      <x:c r="I157" s="8"/>
      <x:c r="J157" s="8"/>
      <x:c r="K157" s="8"/>
    </x:row>
    <x:row r="158">
      <x:c r="C158" s="8"/>
      <x:c r="D158" s="8"/>
      <x:c r="E158" s="8"/>
      <x:c r="F158" s="8"/>
      <x:c r="G158" s="8"/>
      <x:c r="H158" s="8"/>
      <x:c r="I158" s="8"/>
      <x:c r="J158" s="8"/>
      <x:c r="K158" s="8"/>
    </x:row>
    <x:row r="159">
      <x:c r="C159" s="8"/>
      <x:c r="D159" s="8"/>
      <x:c r="E159" s="8"/>
      <x:c r="F159" s="8"/>
      <x:c r="G159" s="8"/>
      <x:c r="H159" s="8"/>
      <x:c r="I159" s="8"/>
      <x:c r="J159" s="8"/>
      <x:c r="K159" s="8"/>
    </x:row>
    <x:row r="160">
      <x:c r="C160" s="8"/>
      <x:c r="D160" s="8"/>
      <x:c r="E160" s="8"/>
      <x:c r="F160" s="8"/>
      <x:c r="G160" s="8"/>
      <x:c r="H160" s="8"/>
      <x:c r="I160" s="8"/>
      <x:c r="J160" s="8"/>
      <x:c r="K160" s="8"/>
    </x:row>
    <x:row r="161">
      <x:c r="C161" s="8"/>
      <x:c r="D161" s="8"/>
      <x:c r="E161" s="8"/>
      <x:c r="F161" s="8"/>
      <x:c r="G161" s="8"/>
      <x:c r="H161" s="8"/>
      <x:c r="I161" s="8"/>
      <x:c r="J161" s="8"/>
      <x:c r="K161" s="8"/>
    </x:row>
    <x:row r="162">
      <x:c r="C162" s="8"/>
      <x:c r="D162" s="8"/>
      <x:c r="E162" s="8"/>
      <x:c r="F162" s="8"/>
      <x:c r="G162" s="8"/>
      <x:c r="H162" s="8"/>
      <x:c r="I162" s="8"/>
      <x:c r="J162" s="8"/>
      <x:c r="K162" s="8"/>
    </x:row>
    <x:row r="163">
      <x:c r="C163" s="8"/>
      <x:c r="D163" s="8"/>
      <x:c r="E163" s="8"/>
      <x:c r="F163" s="8"/>
      <x:c r="G163" s="8"/>
      <x:c r="H163" s="8"/>
      <x:c r="I163" s="8"/>
      <x:c r="J163" s="8"/>
      <x:c r="K163" s="8"/>
    </x:row>
    <x:row r="164">
      <x:c r="C164" s="8"/>
      <x:c r="D164" s="8"/>
      <x:c r="E164" s="8"/>
      <x:c r="F164" s="8"/>
      <x:c r="G164" s="8"/>
      <x:c r="H164" s="8"/>
      <x:c r="I164" s="8"/>
      <x:c r="J164" s="8"/>
      <x:c r="K164" s="8"/>
    </x:row>
    <x:row r="165">
      <x:c r="C165" s="8"/>
      <x:c r="D165" s="8"/>
      <x:c r="E165" s="8"/>
      <x:c r="F165" s="8"/>
      <x:c r="G165" s="8"/>
      <x:c r="H165" s="8"/>
      <x:c r="I165" s="8"/>
      <x:c r="J165" s="8"/>
      <x:c r="K165" s="8"/>
    </x:row>
    <x:row r="166">
      <x:c r="C166" s="8"/>
      <x:c r="D166" s="8"/>
      <x:c r="E166" s="8"/>
      <x:c r="F166" s="8"/>
      <x:c r="G166" s="8"/>
      <x:c r="H166" s="8"/>
      <x:c r="I166" s="8"/>
      <x:c r="J166" s="8"/>
      <x:c r="K166" s="8"/>
    </x:row>
    <x:row r="167">
      <x:c r="C167" s="8"/>
      <x:c r="D167" s="8"/>
      <x:c r="E167" s="8"/>
      <x:c r="F167" s="8"/>
      <x:c r="G167" s="8"/>
      <x:c r="H167" s="8"/>
      <x:c r="I167" s="8"/>
      <x:c r="J167" s="8"/>
      <x:c r="K167" s="8"/>
    </x:row>
    <x:row r="168">
      <x:c r="C168" s="8"/>
      <x:c r="D168" s="8"/>
      <x:c r="E168" s="8"/>
      <x:c r="F168" s="8"/>
      <x:c r="G168" s="8"/>
      <x:c r="H168" s="8"/>
      <x:c r="I168" s="8"/>
      <x:c r="J168" s="8"/>
      <x:c r="K168" s="8"/>
    </x:row>
    <x:row r="169">
      <x:c r="C169" s="8"/>
      <x:c r="D169" s="8"/>
      <x:c r="E169" s="8"/>
      <x:c r="F169" s="8"/>
      <x:c r="G169" s="8"/>
      <x:c r="H169" s="8"/>
      <x:c r="I169" s="8"/>
      <x:c r="J169" s="8"/>
      <x:c r="K169" s="8"/>
    </x:row>
    <x:row r="170">
      <x:c r="C170" s="8"/>
      <x:c r="D170" s="8"/>
      <x:c r="E170" s="8"/>
      <x:c r="F170" s="8"/>
      <x:c r="G170" s="8"/>
      <x:c r="H170" s="8"/>
      <x:c r="I170" s="8"/>
      <x:c r="J170" s="8"/>
      <x:c r="K170" s="8"/>
    </x:row>
    <x:row r="171">
      <x:c r="C171" s="8"/>
      <x:c r="D171" s="8"/>
      <x:c r="E171" s="8"/>
      <x:c r="F171" s="8"/>
      <x:c r="G171" s="8"/>
      <x:c r="H171" s="8"/>
      <x:c r="I171" s="8"/>
      <x:c r="J171" s="8"/>
      <x:c r="K171" s="8"/>
    </x:row>
    <x:row r="172">
      <x:c r="C172" s="8"/>
      <x:c r="D172" s="8"/>
      <x:c r="E172" s="8"/>
      <x:c r="F172" s="8"/>
      <x:c r="G172" s="8"/>
      <x:c r="H172" s="8"/>
      <x:c r="I172" s="8"/>
      <x:c r="J172" s="8"/>
      <x:c r="K172" s="8"/>
    </x:row>
    <x:row r="173">
      <x:c r="C173" s="8"/>
      <x:c r="D173" s="8"/>
      <x:c r="E173" s="8"/>
      <x:c r="F173" s="8"/>
      <x:c r="G173" s="8"/>
      <x:c r="H173" s="8"/>
      <x:c r="I173" s="8"/>
      <x:c r="J173" s="8"/>
      <x:c r="K173" s="8"/>
    </x:row>
    <x:row r="174">
      <x:c r="C174" s="8"/>
      <x:c r="D174" s="8"/>
      <x:c r="E174" s="8"/>
      <x:c r="F174" s="8"/>
      <x:c r="G174" s="8"/>
      <x:c r="H174" s="8"/>
      <x:c r="I174" s="8"/>
      <x:c r="J174" s="8"/>
      <x:c r="K174" s="8"/>
    </x:row>
    <x:row r="175">
      <x:c r="C175" s="8"/>
      <x:c r="D175" s="8"/>
      <x:c r="E175" s="8"/>
      <x:c r="F175" s="8"/>
      <x:c r="G175" s="8"/>
      <x:c r="H175" s="8"/>
      <x:c r="I175" s="8"/>
      <x:c r="J175" s="8"/>
      <x:c r="K175" s="8"/>
    </x:row>
    <x:row r="176">
      <x:c r="C176" s="8"/>
      <x:c r="D176" s="8"/>
      <x:c r="E176" s="8"/>
      <x:c r="F176" s="8"/>
      <x:c r="G176" s="8"/>
      <x:c r="H176" s="8"/>
      <x:c r="I176" s="8"/>
      <x:c r="J176" s="8"/>
      <x:c r="K176" s="8"/>
    </x:row>
    <x:row r="177">
      <x:c r="C177" s="8"/>
      <x:c r="D177" s="8"/>
      <x:c r="E177" s="8"/>
      <x:c r="F177" s="8"/>
      <x:c r="G177" s="8"/>
      <x:c r="H177" s="8"/>
      <x:c r="I177" s="8"/>
      <x:c r="J177" s="8"/>
      <x:c r="K177" s="8"/>
    </x:row>
    <x:row r="178">
      <x:c r="C178" s="8"/>
      <x:c r="D178" s="8"/>
      <x:c r="E178" s="8"/>
      <x:c r="F178" s="8"/>
      <x:c r="G178" s="8"/>
      <x:c r="H178" s="8"/>
      <x:c r="I178" s="8"/>
      <x:c r="J178" s="8"/>
      <x:c r="K178" s="8"/>
    </x:row>
    <x:row r="179">
      <x:c r="C179" s="8"/>
      <x:c r="D179" s="8"/>
      <x:c r="E179" s="8"/>
      <x:c r="F179" s="8"/>
      <x:c r="G179" s="8"/>
      <x:c r="H179" s="8"/>
      <x:c r="I179" s="8"/>
      <x:c r="J179" s="8"/>
      <x:c r="K179" s="8"/>
    </x:row>
    <x:row r="180">
      <x:c r="C180" s="8"/>
      <x:c r="D180" s="8"/>
      <x:c r="E180" s="8"/>
      <x:c r="F180" s="8"/>
      <x:c r="G180" s="8"/>
      <x:c r="H180" s="8"/>
      <x:c r="I180" s="8"/>
      <x:c r="J180" s="8"/>
      <x:c r="K180" s="8"/>
    </x:row>
    <x:row r="181">
      <x:c r="C181" s="8"/>
      <x:c r="D181" s="8"/>
      <x:c r="E181" s="8"/>
      <x:c r="F181" s="8"/>
      <x:c r="G181" s="8"/>
      <x:c r="H181" s="8"/>
      <x:c r="I181" s="8"/>
      <x:c r="J181" s="8"/>
      <x:c r="K181" s="8"/>
    </x:row>
    <x:row r="182">
      <x:c r="C182" s="8"/>
      <x:c r="D182" s="8"/>
      <x:c r="E182" s="8"/>
      <x:c r="F182" s="8"/>
      <x:c r="G182" s="8"/>
      <x:c r="H182" s="8"/>
      <x:c r="I182" s="8"/>
      <x:c r="J182" s="8"/>
      <x:c r="K182" s="8"/>
    </x:row>
    <x:row r="183">
      <x:c r="C183" s="8"/>
      <x:c r="D183" s="8"/>
      <x:c r="E183" s="8"/>
      <x:c r="F183" s="8"/>
      <x:c r="G183" s="8"/>
      <x:c r="H183" s="8"/>
      <x:c r="I183" s="8"/>
      <x:c r="J183" s="8"/>
      <x:c r="K183" s="8"/>
    </x:row>
    <x:row r="184">
      <x:c r="C184" s="8"/>
      <x:c r="D184" s="8"/>
      <x:c r="E184" s="8"/>
      <x:c r="F184" s="8"/>
      <x:c r="G184" s="8"/>
      <x:c r="H184" s="8"/>
      <x:c r="I184" s="8"/>
      <x:c r="J184" s="8"/>
      <x:c r="K184" s="8"/>
    </x:row>
    <x:row r="185">
      <x:c r="C185" s="8"/>
      <x:c r="D185" s="8"/>
      <x:c r="E185" s="8"/>
      <x:c r="F185" s="8"/>
      <x:c r="G185" s="8"/>
      <x:c r="H185" s="8"/>
      <x:c r="I185" s="8"/>
      <x:c r="J185" s="8"/>
      <x:c r="K185" s="8"/>
    </x:row>
    <x:row r="186">
      <x:c r="C186" s="8"/>
      <x:c r="D186" s="8"/>
      <x:c r="E186" s="8"/>
      <x:c r="F186" s="8"/>
      <x:c r="G186" s="8"/>
      <x:c r="H186" s="8"/>
      <x:c r="I186" s="8"/>
      <x:c r="J186" s="8"/>
      <x:c r="K186" s="8"/>
    </x:row>
    <x:row r="187">
      <x:c r="C187" s="8"/>
      <x:c r="D187" s="8"/>
      <x:c r="E187" s="8"/>
      <x:c r="F187" s="8"/>
      <x:c r="G187" s="8"/>
      <x:c r="H187" s="8"/>
      <x:c r="I187" s="8"/>
      <x:c r="J187" s="8"/>
      <x:c r="K187" s="8"/>
    </x:row>
    <x:row r="188">
      <x:c r="C188" s="8"/>
      <x:c r="D188" s="8"/>
      <x:c r="E188" s="8"/>
      <x:c r="F188" s="8"/>
      <x:c r="G188" s="8"/>
      <x:c r="H188" s="8"/>
      <x:c r="I188" s="8"/>
      <x:c r="J188" s="8"/>
      <x:c r="K188" s="8"/>
    </x:row>
    <x:row r="189">
      <x:c r="C189" s="8"/>
      <x:c r="D189" s="8"/>
      <x:c r="E189" s="8"/>
      <x:c r="F189" s="8"/>
      <x:c r="G189" s="8"/>
      <x:c r="H189" s="8"/>
      <x:c r="I189" s="8"/>
      <x:c r="J189" s="8"/>
      <x:c r="K189" s="8"/>
    </x:row>
    <x:row r="190">
      <x:c r="C190" s="8"/>
      <x:c r="D190" s="8"/>
      <x:c r="E190" s="8"/>
      <x:c r="F190" s="8"/>
      <x:c r="G190" s="8"/>
      <x:c r="H190" s="8"/>
      <x:c r="I190" s="8"/>
      <x:c r="J190" s="8"/>
      <x:c r="K190" s="8"/>
    </x:row>
    <x:row r="191">
      <x:c r="C191" s="8"/>
      <x:c r="D191" s="8"/>
      <x:c r="E191" s="8"/>
      <x:c r="F191" s="8"/>
      <x:c r="G191" s="8"/>
      <x:c r="H191" s="8"/>
      <x:c r="I191" s="8"/>
      <x:c r="J191" s="8"/>
      <x:c r="K191" s="8"/>
    </x:row>
    <x:row r="192">
      <x:c r="C192" s="8"/>
      <x:c r="D192" s="8"/>
      <x:c r="E192" s="8"/>
      <x:c r="F192" s="8"/>
      <x:c r="G192" s="8"/>
      <x:c r="H192" s="8"/>
      <x:c r="I192" s="8"/>
      <x:c r="J192" s="8"/>
      <x:c r="K192" s="8"/>
    </x:row>
    <x:row r="193">
      <x:c r="C193" s="8"/>
      <x:c r="D193" s="8"/>
      <x:c r="E193" s="8"/>
      <x:c r="F193" s="8"/>
      <x:c r="G193" s="8"/>
      <x:c r="H193" s="8"/>
      <x:c r="I193" s="8"/>
      <x:c r="J193" s="8"/>
      <x:c r="K193" s="8"/>
    </x:row>
    <x:row r="194">
      <x:c r="C194" s="8"/>
      <x:c r="D194" s="8"/>
      <x:c r="E194" s="8"/>
      <x:c r="F194" s="8"/>
      <x:c r="G194" s="8"/>
      <x:c r="H194" s="8"/>
      <x:c r="I194" s="8"/>
      <x:c r="J194" s="8"/>
      <x:c r="K194" s="8"/>
    </x:row>
    <x:row r="195">
      <x:c r="C195" s="8"/>
      <x:c r="D195" s="8"/>
      <x:c r="E195" s="8"/>
      <x:c r="F195" s="8"/>
      <x:c r="G195" s="8"/>
      <x:c r="H195" s="8"/>
      <x:c r="I195" s="8"/>
      <x:c r="J195" s="8"/>
      <x:c r="K195" s="8"/>
    </x:row>
    <x:row r="196">
      <x:c r="C196" s="8"/>
      <x:c r="D196" s="8"/>
      <x:c r="E196" s="8"/>
      <x:c r="F196" s="8"/>
      <x:c r="G196" s="8"/>
      <x:c r="H196" s="8"/>
      <x:c r="I196" s="8"/>
      <x:c r="J196" s="8"/>
      <x:c r="K196" s="8"/>
    </x:row>
    <x:row r="197">
      <x:c r="C197" s="8"/>
      <x:c r="D197" s="8"/>
      <x:c r="E197" s="8"/>
      <x:c r="F197" s="8"/>
      <x:c r="G197" s="8"/>
      <x:c r="H197" s="8"/>
      <x:c r="I197" s="8"/>
      <x:c r="J197" s="8"/>
      <x:c r="K197" s="8"/>
    </x:row>
    <x:row r="198">
      <x:c r="C198" s="8"/>
      <x:c r="D198" s="8"/>
      <x:c r="E198" s="8"/>
      <x:c r="F198" s="8"/>
      <x:c r="G198" s="8"/>
      <x:c r="H198" s="8"/>
      <x:c r="I198" s="8"/>
      <x:c r="J198" s="8"/>
      <x:c r="K198" s="8"/>
    </x:row>
    <x:row r="199">
      <x:c r="C199" s="8"/>
      <x:c r="D199" s="8"/>
      <x:c r="E199" s="8"/>
      <x:c r="F199" s="8"/>
      <x:c r="G199" s="8"/>
      <x:c r="H199" s="8"/>
      <x:c r="I199" s="8"/>
      <x:c r="J199" s="8"/>
      <x:c r="K199" s="8"/>
    </x:row>
    <x:row r="200">
      <x:c r="C200" s="8"/>
      <x:c r="D200" s="8"/>
      <x:c r="E200" s="8"/>
      <x:c r="F200" s="8"/>
      <x:c r="G200" s="8"/>
      <x:c r="H200" s="8"/>
      <x:c r="I200" s="8"/>
      <x:c r="J200" s="8"/>
      <x:c r="K200" s="8"/>
    </x:row>
    <x:row r="201">
      <x:c r="C201" s="8"/>
      <x:c r="D201" s="8"/>
      <x:c r="E201" s="8"/>
      <x:c r="F201" s="8"/>
      <x:c r="G201" s="8"/>
      <x:c r="H201" s="8"/>
      <x:c r="I201" s="8"/>
      <x:c r="J201" s="8"/>
      <x:c r="K201" s="8"/>
    </x:row>
    <x:row r="202">
      <x:c r="C202" s="8"/>
      <x:c r="D202" s="8"/>
      <x:c r="E202" s="8"/>
      <x:c r="F202" s="8"/>
      <x:c r="G202" s="8"/>
      <x:c r="H202" s="8"/>
      <x:c r="I202" s="8"/>
      <x:c r="J202" s="8"/>
      <x:c r="K202" s="8"/>
    </x:row>
    <x:row r="203">
      <x:c r="C203" s="8"/>
      <x:c r="D203" s="8"/>
      <x:c r="E203" s="8"/>
      <x:c r="F203" s="8"/>
      <x:c r="G203" s="8"/>
      <x:c r="H203" s="8"/>
      <x:c r="I203" s="8"/>
      <x:c r="J203" s="8"/>
      <x:c r="K203" s="8"/>
    </x:row>
    <x:row r="204">
      <x:c r="C204" s="8"/>
      <x:c r="D204" s="8"/>
      <x:c r="E204" s="8"/>
      <x:c r="F204" s="8"/>
      <x:c r="G204" s="8"/>
      <x:c r="H204" s="8"/>
      <x:c r="I204" s="8"/>
      <x:c r="J204" s="8"/>
      <x:c r="K204" s="8"/>
    </x:row>
    <x:row r="205">
      <x:c r="C205" s="8"/>
      <x:c r="D205" s="8"/>
      <x:c r="E205" s="8"/>
      <x:c r="F205" s="8"/>
      <x:c r="G205" s="8"/>
      <x:c r="H205" s="8"/>
      <x:c r="I205" s="8"/>
      <x:c r="J205" s="8"/>
      <x:c r="K205" s="8"/>
    </x:row>
    <x:row r="206">
      <x:c r="C206" s="8"/>
      <x:c r="D206" s="8"/>
      <x:c r="E206" s="8"/>
      <x:c r="F206" s="8"/>
      <x:c r="G206" s="8"/>
      <x:c r="H206" s="8"/>
      <x:c r="I206" s="8"/>
      <x:c r="J206" s="8"/>
      <x:c r="K206" s="8"/>
    </x:row>
    <x:row r="207">
      <x:c r="C207" s="8"/>
      <x:c r="D207" s="8"/>
      <x:c r="E207" s="8"/>
      <x:c r="F207" s="8"/>
      <x:c r="G207" s="8"/>
      <x:c r="H207" s="8"/>
      <x:c r="I207" s="8"/>
      <x:c r="J207" s="8"/>
      <x:c r="K207" s="8"/>
    </x:row>
    <x:row r="208">
      <x:c r="C208" s="8"/>
      <x:c r="D208" s="8"/>
      <x:c r="E208" s="8"/>
      <x:c r="F208" s="8"/>
      <x:c r="G208" s="8"/>
      <x:c r="H208" s="8"/>
      <x:c r="I208" s="8"/>
      <x:c r="J208" s="8"/>
      <x:c r="K208" s="8"/>
    </x:row>
    <x:row r="209">
      <x:c r="C209" s="8"/>
      <x:c r="D209" s="8"/>
      <x:c r="E209" s="8"/>
      <x:c r="F209" s="8"/>
      <x:c r="G209" s="8"/>
      <x:c r="H209" s="8"/>
      <x:c r="I209" s="8"/>
      <x:c r="J209" s="8"/>
      <x:c r="K209" s="8"/>
    </x:row>
    <x:row r="210">
      <x:c r="C210" s="8"/>
      <x:c r="D210" s="8"/>
      <x:c r="E210" s="8"/>
      <x:c r="F210" s="8"/>
      <x:c r="G210" s="8"/>
      <x:c r="H210" s="8"/>
      <x:c r="I210" s="8"/>
      <x:c r="J210" s="8"/>
      <x:c r="K210" s="8"/>
    </x:row>
    <x:row r="211">
      <x:c r="C211" s="8"/>
      <x:c r="D211" s="8"/>
      <x:c r="E211" s="8"/>
      <x:c r="F211" s="8"/>
      <x:c r="G211" s="8"/>
      <x:c r="H211" s="8"/>
      <x:c r="I211" s="8"/>
      <x:c r="J211" s="8"/>
      <x:c r="K211" s="8"/>
    </x:row>
    <x:row r="212">
      <x:c r="C212" s="8"/>
      <x:c r="D212" s="8"/>
      <x:c r="E212" s="8"/>
      <x:c r="F212" s="8"/>
      <x:c r="G212" s="8"/>
      <x:c r="H212" s="8"/>
      <x:c r="I212" s="8"/>
      <x:c r="J212" s="8"/>
      <x:c r="K212" s="8"/>
    </x:row>
    <x:row r="213">
      <x:c r="C213" s="8"/>
      <x:c r="D213" s="8"/>
      <x:c r="E213" s="8"/>
      <x:c r="F213" s="8"/>
      <x:c r="G213" s="8"/>
      <x:c r="H213" s="8"/>
      <x:c r="I213" s="8"/>
      <x:c r="J213" s="8"/>
      <x:c r="K213" s="8"/>
    </x:row>
    <x:row r="214">
      <x:c r="C214" s="8"/>
      <x:c r="D214" s="8"/>
      <x:c r="E214" s="8"/>
      <x:c r="F214" s="8"/>
      <x:c r="G214" s="8"/>
      <x:c r="H214" s="8"/>
      <x:c r="I214" s="8"/>
      <x:c r="J214" s="8"/>
      <x:c r="K214" s="8"/>
    </x:row>
    <x:row r="215">
      <x:c r="C215" s="8"/>
      <x:c r="D215" s="8"/>
      <x:c r="E215" s="8"/>
      <x:c r="F215" s="8"/>
      <x:c r="G215" s="8"/>
      <x:c r="H215" s="8"/>
      <x:c r="I215" s="8"/>
      <x:c r="J215" s="8"/>
      <x:c r="K215" s="8"/>
    </x:row>
    <x:row r="216">
      <x:c r="C216" s="8"/>
      <x:c r="D216" s="8"/>
      <x:c r="E216" s="8"/>
      <x:c r="F216" s="8"/>
      <x:c r="G216" s="8"/>
      <x:c r="H216" s="8"/>
      <x:c r="I216" s="8"/>
      <x:c r="J216" s="8"/>
      <x:c r="K216" s="8"/>
    </x:row>
    <x:row r="217">
      <x:c r="C217" s="8"/>
      <x:c r="D217" s="8"/>
      <x:c r="E217" s="8"/>
      <x:c r="F217" s="8"/>
      <x:c r="G217" s="8"/>
      <x:c r="H217" s="8"/>
      <x:c r="I217" s="8"/>
      <x:c r="J217" s="8"/>
      <x:c r="K217" s="8"/>
    </x:row>
    <x:row r="218">
      <x:c r="C218" s="8"/>
      <x:c r="D218" s="8"/>
      <x:c r="E218" s="8"/>
      <x:c r="F218" s="8"/>
      <x:c r="G218" s="8"/>
      <x:c r="H218" s="8"/>
      <x:c r="I218" s="8"/>
      <x:c r="J218" s="8"/>
      <x:c r="K218" s="8"/>
    </x:row>
    <x:row r="219">
      <x:c r="C219" s="8"/>
      <x:c r="D219" s="8"/>
      <x:c r="E219" s="8"/>
      <x:c r="F219" s="8"/>
      <x:c r="G219" s="8"/>
      <x:c r="H219" s="8"/>
      <x:c r="I219" s="8"/>
      <x:c r="J219" s="8"/>
      <x:c r="K219" s="8"/>
    </x:row>
    <x:row r="220">
      <x:c r="C220" s="8"/>
      <x:c r="D220" s="8"/>
      <x:c r="E220" s="8"/>
      <x:c r="F220" s="8"/>
      <x:c r="G220" s="8"/>
      <x:c r="H220" s="8"/>
      <x:c r="I220" s="8"/>
      <x:c r="J220" s="8"/>
      <x:c r="K220" s="8"/>
    </x:row>
    <x:row r="221">
      <x:c r="C221" s="8"/>
      <x:c r="D221" s="8"/>
      <x:c r="E221" s="8"/>
      <x:c r="F221" s="8"/>
      <x:c r="G221" s="8"/>
      <x:c r="H221" s="8"/>
      <x:c r="I221" s="8"/>
      <x:c r="J221" s="8"/>
      <x:c r="K221" s="8"/>
    </x:row>
    <x:row r="222">
      <x:c r="C222" s="8"/>
      <x:c r="D222" s="8"/>
      <x:c r="E222" s="8"/>
      <x:c r="F222" s="8"/>
      <x:c r="G222" s="8"/>
      <x:c r="H222" s="8"/>
      <x:c r="I222" s="8"/>
      <x:c r="J222" s="8"/>
      <x:c r="K222" s="8"/>
    </x:row>
    <x:row r="223">
      <x:c r="C223" s="8"/>
      <x:c r="D223" s="8"/>
      <x:c r="E223" s="8"/>
      <x:c r="F223" s="8"/>
      <x:c r="G223" s="8"/>
      <x:c r="H223" s="8"/>
      <x:c r="I223" s="8"/>
      <x:c r="J223" s="8"/>
      <x:c r="K223" s="8"/>
    </x:row>
    <x:row r="224">
      <x:c r="C224" s="8"/>
      <x:c r="D224" s="8"/>
      <x:c r="E224" s="8"/>
      <x:c r="F224" s="8"/>
      <x:c r="G224" s="8"/>
      <x:c r="H224" s="8"/>
      <x:c r="I224" s="8"/>
      <x:c r="J224" s="8"/>
      <x:c r="K224" s="8"/>
    </x:row>
    <x:row r="225">
      <x:c r="C225" s="8"/>
      <x:c r="D225" s="8"/>
      <x:c r="E225" s="8"/>
      <x:c r="F225" s="8"/>
      <x:c r="G225" s="8"/>
      <x:c r="H225" s="8"/>
      <x:c r="I225" s="8"/>
      <x:c r="J225" s="8"/>
      <x:c r="K225" s="8"/>
    </x:row>
    <x:row r="226">
      <x:c r="C226" s="8"/>
      <x:c r="D226" s="8"/>
      <x:c r="E226" s="8"/>
      <x:c r="F226" s="8"/>
      <x:c r="G226" s="8"/>
      <x:c r="H226" s="8"/>
      <x:c r="I226" s="8"/>
      <x:c r="J226" s="8"/>
      <x:c r="K226" s="8"/>
    </x:row>
    <x:row r="227">
      <x:c r="C227" s="8"/>
      <x:c r="D227" s="8"/>
      <x:c r="E227" s="8"/>
      <x:c r="F227" s="8"/>
      <x:c r="G227" s="8"/>
      <x:c r="H227" s="8"/>
      <x:c r="I227" s="8"/>
      <x:c r="J227" s="8"/>
      <x:c r="K227" s="8"/>
    </x:row>
    <x:row r="228">
      <x:c r="C228" s="8"/>
      <x:c r="D228" s="8"/>
      <x:c r="E228" s="8"/>
      <x:c r="F228" s="8"/>
      <x:c r="G228" s="8"/>
      <x:c r="H228" s="8"/>
      <x:c r="I228" s="8"/>
      <x:c r="J228" s="8"/>
      <x:c r="K228" s="8"/>
    </x:row>
    <x:row r="229">
      <x:c r="C229" s="8"/>
      <x:c r="D229" s="8"/>
      <x:c r="E229" s="8"/>
      <x:c r="F229" s="8"/>
      <x:c r="G229" s="8"/>
      <x:c r="H229" s="8"/>
      <x:c r="I229" s="8"/>
      <x:c r="J229" s="8"/>
      <x:c r="K229" s="8"/>
    </x:row>
    <x:row r="230">
      <x:c r="C230" s="8"/>
      <x:c r="D230" s="8"/>
      <x:c r="E230" s="8"/>
      <x:c r="F230" s="8"/>
      <x:c r="G230" s="8"/>
      <x:c r="H230" s="8"/>
      <x:c r="I230" s="8"/>
      <x:c r="J230" s="8"/>
      <x:c r="K230" s="8"/>
    </x:row>
    <x:row r="231">
      <x:c r="C231" s="8"/>
      <x:c r="D231" s="8"/>
      <x:c r="E231" s="8"/>
      <x:c r="F231" s="8"/>
      <x:c r="G231" s="8"/>
      <x:c r="H231" s="8"/>
      <x:c r="I231" s="8"/>
      <x:c r="J231" s="8"/>
      <x:c r="K231" s="8"/>
    </x:row>
    <x:row r="232">
      <x:c r="C232" s="8"/>
      <x:c r="D232" s="8"/>
      <x:c r="E232" s="8"/>
      <x:c r="F232" s="8"/>
      <x:c r="G232" s="8"/>
      <x:c r="H232" s="8"/>
      <x:c r="I232" s="8"/>
      <x:c r="J232" s="8"/>
      <x:c r="K232" s="8"/>
    </x:row>
    <x:row r="233">
      <x:c r="C233" s="8"/>
      <x:c r="D233" s="8"/>
      <x:c r="E233" s="8"/>
      <x:c r="F233" s="8"/>
      <x:c r="G233" s="8"/>
      <x:c r="H233" s="8"/>
      <x:c r="I233" s="8"/>
      <x:c r="J233" s="8"/>
      <x:c r="K233" s="8"/>
    </x:row>
    <x:row r="234">
      <x:c r="C234" s="8"/>
      <x:c r="D234" s="8"/>
      <x:c r="E234" s="8"/>
      <x:c r="F234" s="8"/>
      <x:c r="G234" s="8"/>
      <x:c r="H234" s="8"/>
      <x:c r="I234" s="8"/>
      <x:c r="J234" s="8"/>
      <x:c r="K234" s="8"/>
    </x:row>
    <x:row r="235">
      <x:c r="C235" s="8"/>
      <x:c r="D235" s="8"/>
      <x:c r="E235" s="8"/>
      <x:c r="F235" s="8"/>
      <x:c r="G235" s="8"/>
      <x:c r="H235" s="8"/>
      <x:c r="I235" s="8"/>
      <x:c r="J235" s="8"/>
      <x:c r="K235" s="8"/>
    </x:row>
    <x:row r="236">
      <x:c r="C236" s="8"/>
      <x:c r="D236" s="8"/>
      <x:c r="E236" s="8"/>
      <x:c r="F236" s="8"/>
      <x:c r="G236" s="8"/>
      <x:c r="H236" s="8"/>
      <x:c r="I236" s="8"/>
      <x:c r="J236" s="8"/>
      <x:c r="K236" s="8"/>
    </x:row>
    <x:row r="237">
      <x:c r="C237" s="8"/>
      <x:c r="D237" s="8"/>
      <x:c r="E237" s="8"/>
      <x:c r="F237" s="8"/>
      <x:c r="G237" s="8"/>
      <x:c r="H237" s="8"/>
      <x:c r="I237" s="8"/>
      <x:c r="J237" s="8"/>
      <x:c r="K237" s="8"/>
    </x:row>
    <x:row r="238">
      <x:c r="C238" s="8"/>
      <x:c r="D238" s="8"/>
      <x:c r="E238" s="8"/>
      <x:c r="F238" s="8"/>
      <x:c r="G238" s="8"/>
      <x:c r="H238" s="8"/>
      <x:c r="I238" s="8"/>
      <x:c r="J238" s="8"/>
      <x:c r="K238" s="8"/>
    </x:row>
    <x:row r="239">
      <x:c r="C239" s="8"/>
      <x:c r="D239" s="8"/>
      <x:c r="E239" s="8"/>
      <x:c r="F239" s="8"/>
      <x:c r="G239" s="8"/>
      <x:c r="H239" s="8"/>
      <x:c r="I239" s="8"/>
      <x:c r="J239" s="8"/>
      <x:c r="K239" s="8"/>
    </x:row>
    <x:row r="240">
      <x:c r="C240" s="8"/>
      <x:c r="D240" s="8"/>
      <x:c r="E240" s="8"/>
      <x:c r="F240" s="8"/>
      <x:c r="G240" s="8"/>
      <x:c r="H240" s="8"/>
      <x:c r="I240" s="8"/>
      <x:c r="J240" s="8"/>
      <x:c r="K240" s="8"/>
    </x:row>
    <x:row r="241">
      <x:c r="C241" s="8"/>
      <x:c r="D241" s="8"/>
      <x:c r="E241" s="8"/>
      <x:c r="F241" s="8"/>
      <x:c r="G241" s="8"/>
      <x:c r="H241" s="8"/>
      <x:c r="I241" s="8"/>
      <x:c r="J241" s="8"/>
      <x:c r="K241" s="8"/>
    </x:row>
    <x:row r="242">
      <x:c r="C242" s="8"/>
      <x:c r="D242" s="8"/>
      <x:c r="E242" s="8"/>
      <x:c r="F242" s="8"/>
      <x:c r="G242" s="8"/>
      <x:c r="H242" s="8"/>
      <x:c r="I242" s="8"/>
      <x:c r="J242" s="8"/>
      <x:c r="K242" s="8"/>
    </x:row>
    <x:row r="243">
      <x:c r="C243" s="8"/>
      <x:c r="D243" s="8"/>
      <x:c r="E243" s="8"/>
      <x:c r="F243" s="8"/>
      <x:c r="G243" s="8"/>
      <x:c r="H243" s="8"/>
      <x:c r="I243" s="8"/>
      <x:c r="J243" s="8"/>
      <x:c r="K243" s="8"/>
    </x:row>
    <x:row r="244">
      <x:c r="C244" s="8"/>
      <x:c r="D244" s="8"/>
      <x:c r="E244" s="8"/>
      <x:c r="F244" s="8"/>
      <x:c r="G244" s="8"/>
      <x:c r="H244" s="8"/>
      <x:c r="I244" s="8"/>
      <x:c r="J244" s="8"/>
      <x:c r="K244" s="8"/>
    </x:row>
    <x:row r="245">
      <x:c r="C245" s="8"/>
      <x:c r="D245" s="8"/>
      <x:c r="E245" s="8"/>
      <x:c r="F245" s="8"/>
      <x:c r="G245" s="8"/>
      <x:c r="H245" s="8"/>
      <x:c r="I245" s="8"/>
      <x:c r="J245" s="8"/>
      <x:c r="K245" s="8"/>
    </x:row>
    <x:row r="246">
      <x:c r="C246" s="8"/>
      <x:c r="D246" s="8"/>
      <x:c r="E246" s="8"/>
      <x:c r="F246" s="8"/>
      <x:c r="G246" s="8"/>
      <x:c r="H246" s="8"/>
      <x:c r="I246" s="8"/>
      <x:c r="J246" s="8"/>
      <x:c r="K246" s="8"/>
    </x:row>
    <x:row r="247">
      <x:c r="C247" s="8"/>
      <x:c r="D247" s="8"/>
      <x:c r="E247" s="8"/>
      <x:c r="F247" s="8"/>
      <x:c r="G247" s="8"/>
      <x:c r="H247" s="8"/>
      <x:c r="I247" s="8"/>
      <x:c r="J247" s="8"/>
      <x:c r="K247" s="8"/>
    </x:row>
    <x:row r="248">
      <x:c r="C248" s="8"/>
      <x:c r="D248" s="8"/>
      <x:c r="E248" s="8"/>
      <x:c r="F248" s="8"/>
      <x:c r="G248" s="8"/>
      <x:c r="H248" s="8"/>
      <x:c r="I248" s="8"/>
      <x:c r="J248" s="8"/>
      <x:c r="K248" s="8"/>
    </x:row>
    <x:row r="249">
      <x:c r="C249" s="8"/>
      <x:c r="D249" s="8"/>
      <x:c r="E249" s="8"/>
      <x:c r="F249" s="8"/>
      <x:c r="G249" s="8"/>
      <x:c r="H249" s="8"/>
      <x:c r="I249" s="8"/>
      <x:c r="J249" s="8"/>
      <x:c r="K249" s="8"/>
    </x:row>
    <x:row r="250">
      <x:c r="C250" s="8"/>
      <x:c r="D250" s="8"/>
      <x:c r="E250" s="8"/>
      <x:c r="F250" s="8"/>
      <x:c r="G250" s="8"/>
      <x:c r="H250" s="8"/>
      <x:c r="I250" s="8"/>
      <x:c r="J250" s="8"/>
      <x:c r="K250" s="8"/>
    </x:row>
    <x:row r="251">
      <x:c r="C251" s="8"/>
      <x:c r="D251" s="8"/>
      <x:c r="E251" s="8"/>
      <x:c r="F251" s="8"/>
      <x:c r="G251" s="8"/>
      <x:c r="H251" s="8"/>
      <x:c r="I251" s="8"/>
      <x:c r="J251" s="8"/>
      <x:c r="K251" s="8"/>
    </x:row>
    <x:row r="252">
      <x:c r="C252" s="8"/>
      <x:c r="D252" s="8"/>
      <x:c r="E252" s="8"/>
      <x:c r="F252" s="8"/>
      <x:c r="G252" s="8"/>
      <x:c r="H252" s="8"/>
      <x:c r="I252" s="8"/>
      <x:c r="J252" s="8"/>
      <x:c r="K252" s="8"/>
    </x:row>
    <x:row r="253">
      <x:c r="C253" s="8"/>
      <x:c r="D253" s="8"/>
      <x:c r="E253" s="8"/>
      <x:c r="F253" s="8"/>
      <x:c r="G253" s="8"/>
      <x:c r="H253" s="8"/>
      <x:c r="I253" s="8"/>
      <x:c r="J253" s="8"/>
      <x:c r="K253" s="8"/>
    </x:row>
    <x:row r="254">
      <x:c r="C254" s="8"/>
      <x:c r="D254" s="8"/>
      <x:c r="E254" s="8"/>
      <x:c r="F254" s="8"/>
      <x:c r="G254" s="8"/>
      <x:c r="H254" s="8"/>
      <x:c r="I254" s="8"/>
      <x:c r="J254" s="8"/>
      <x:c r="K254" s="8"/>
    </x:row>
    <x:row r="255">
      <x:c r="C255" s="8"/>
      <x:c r="D255" s="8"/>
      <x:c r="E255" s="8"/>
      <x:c r="F255" s="8"/>
      <x:c r="G255" s="8"/>
      <x:c r="H255" s="8"/>
      <x:c r="I255" s="8"/>
      <x:c r="J255" s="8"/>
      <x:c r="K255" s="8"/>
    </x:row>
    <x:row r="256">
      <x:c r="C256" s="8"/>
      <x:c r="D256" s="8"/>
      <x:c r="E256" s="8"/>
      <x:c r="F256" s="8"/>
      <x:c r="G256" s="8"/>
      <x:c r="H256" s="8"/>
      <x:c r="I256" s="8"/>
      <x:c r="J256" s="8"/>
      <x:c r="K256" s="8"/>
    </x:row>
    <x:row r="257">
      <x:c r="C257" s="8"/>
      <x:c r="D257" s="8"/>
      <x:c r="E257" s="8"/>
      <x:c r="F257" s="8"/>
      <x:c r="G257" s="8"/>
      <x:c r="H257" s="8"/>
      <x:c r="I257" s="8"/>
      <x:c r="J257" s="8"/>
      <x:c r="K257" s="8"/>
    </x:row>
    <x:row r="258">
      <x:c r="C258" s="8"/>
      <x:c r="D258" s="8"/>
      <x:c r="E258" s="8"/>
      <x:c r="F258" s="8"/>
      <x:c r="G258" s="8"/>
      <x:c r="H258" s="8"/>
      <x:c r="I258" s="8"/>
      <x:c r="J258" s="8"/>
      <x:c r="K258" s="8"/>
    </x:row>
    <x:row r="259">
      <x:c r="C259" s="8"/>
      <x:c r="D259" s="8"/>
      <x:c r="E259" s="8"/>
      <x:c r="F259" s="8"/>
      <x:c r="G259" s="8"/>
      <x:c r="H259" s="8"/>
      <x:c r="I259" s="8"/>
      <x:c r="J259" s="8"/>
      <x:c r="K259" s="8"/>
    </x:row>
    <x:row r="260">
      <x:c r="C260" s="8"/>
      <x:c r="D260" s="8"/>
      <x:c r="E260" s="8"/>
      <x:c r="F260" s="8"/>
      <x:c r="G260" s="8"/>
      <x:c r="H260" s="8"/>
      <x:c r="I260" s="8"/>
      <x:c r="J260" s="8"/>
      <x:c r="K260" s="8"/>
    </x:row>
    <x:row r="261">
      <x:c r="C261" s="8"/>
      <x:c r="D261" s="8"/>
      <x:c r="E261" s="8"/>
      <x:c r="F261" s="8"/>
      <x:c r="G261" s="8"/>
      <x:c r="H261" s="8"/>
      <x:c r="I261" s="8"/>
      <x:c r="J261" s="8"/>
      <x:c r="K261" s="8"/>
    </x:row>
    <x:row r="262">
      <x:c r="C262" s="8"/>
      <x:c r="D262" s="8"/>
      <x:c r="E262" s="8"/>
      <x:c r="F262" s="8"/>
      <x:c r="G262" s="8"/>
      <x:c r="H262" s="8"/>
      <x:c r="I262" s="8"/>
      <x:c r="J262" s="8"/>
      <x:c r="K262" s="8"/>
    </x:row>
    <x:row r="263">
      <x:c r="C263" s="8"/>
      <x:c r="D263" s="8"/>
      <x:c r="E263" s="8"/>
      <x:c r="F263" s="8"/>
      <x:c r="G263" s="8"/>
      <x:c r="H263" s="8"/>
      <x:c r="I263" s="8"/>
      <x:c r="J263" s="8"/>
      <x:c r="K263" s="8"/>
    </x:row>
    <x:row r="264">
      <x:c r="C264" s="8"/>
      <x:c r="D264" s="8"/>
      <x:c r="E264" s="8"/>
      <x:c r="F264" s="8"/>
      <x:c r="G264" s="8"/>
      <x:c r="H264" s="8"/>
      <x:c r="I264" s="8"/>
      <x:c r="J264" s="8"/>
      <x:c r="K264" s="8"/>
    </x:row>
    <x:row r="265">
      <x:c r="C265" s="8"/>
      <x:c r="D265" s="8"/>
      <x:c r="E265" s="8"/>
      <x:c r="F265" s="8"/>
      <x:c r="G265" s="8"/>
      <x:c r="H265" s="8"/>
      <x:c r="I265" s="8"/>
      <x:c r="J265" s="8"/>
      <x:c r="K265" s="8"/>
    </x:row>
    <x:row r="266">
      <x:c r="C266" s="8"/>
      <x:c r="D266" s="8"/>
      <x:c r="E266" s="8"/>
      <x:c r="F266" s="8"/>
      <x:c r="G266" s="8"/>
      <x:c r="H266" s="8"/>
      <x:c r="I266" s="8"/>
      <x:c r="J266" s="8"/>
      <x:c r="K266" s="8"/>
    </x:row>
    <x:row r="267">
      <x:c r="C267" s="8"/>
      <x:c r="D267" s="8"/>
      <x:c r="E267" s="8"/>
      <x:c r="F267" s="8"/>
      <x:c r="G267" s="8"/>
      <x:c r="H267" s="8"/>
      <x:c r="I267" s="8"/>
      <x:c r="J267" s="8"/>
      <x:c r="K267" s="8"/>
    </x:row>
    <x:row r="268">
      <x:c r="C268" s="8"/>
      <x:c r="D268" s="8"/>
      <x:c r="E268" s="8"/>
      <x:c r="F268" s="8"/>
      <x:c r="G268" s="8"/>
      <x:c r="H268" s="8"/>
      <x:c r="I268" s="8"/>
      <x:c r="J268" s="8"/>
      <x:c r="K268" s="8"/>
    </x:row>
    <x:row r="269">
      <x:c r="C269" s="8"/>
      <x:c r="D269" s="8"/>
      <x:c r="E269" s="8"/>
      <x:c r="F269" s="8"/>
      <x:c r="G269" s="8"/>
      <x:c r="H269" s="8"/>
      <x:c r="I269" s="8"/>
      <x:c r="J269" s="8"/>
      <x:c r="K269" s="8"/>
    </x:row>
    <x:row r="270">
      <x:c r="C270" s="8"/>
      <x:c r="D270" s="8"/>
      <x:c r="E270" s="8"/>
      <x:c r="F270" s="8"/>
      <x:c r="G270" s="8"/>
      <x:c r="H270" s="8"/>
      <x:c r="I270" s="8"/>
      <x:c r="J270" s="8"/>
      <x:c r="K270" s="8"/>
    </x:row>
    <x:row r="271">
      <x:c r="C271" s="8"/>
      <x:c r="D271" s="8"/>
      <x:c r="E271" s="8"/>
      <x:c r="F271" s="8"/>
      <x:c r="G271" s="8"/>
      <x:c r="H271" s="8"/>
      <x:c r="I271" s="8"/>
      <x:c r="J271" s="8"/>
      <x:c r="K271" s="8"/>
    </x:row>
    <x:row r="272">
      <x:c r="C272" s="8"/>
      <x:c r="D272" s="8"/>
      <x:c r="E272" s="8"/>
      <x:c r="F272" s="8"/>
      <x:c r="G272" s="8"/>
      <x:c r="H272" s="8"/>
      <x:c r="I272" s="8"/>
      <x:c r="J272" s="8"/>
      <x:c r="K272" s="8"/>
    </x:row>
    <x:row r="273">
      <x:c r="C273" s="8"/>
      <x:c r="D273" s="8"/>
      <x:c r="E273" s="8"/>
      <x:c r="F273" s="8"/>
      <x:c r="G273" s="8"/>
      <x:c r="H273" s="8"/>
      <x:c r="I273" s="8"/>
      <x:c r="J273" s="8"/>
      <x:c r="K273" s="8"/>
    </x:row>
    <x:row r="274">
      <x:c r="C274" s="8"/>
      <x:c r="D274" s="8"/>
      <x:c r="E274" s="8"/>
      <x:c r="F274" s="8"/>
      <x:c r="G274" s="8"/>
      <x:c r="H274" s="8"/>
      <x:c r="I274" s="8"/>
      <x:c r="J274" s="8"/>
      <x:c r="K274" s="8"/>
    </x:row>
    <x:row r="275">
      <x:c r="C275" s="8"/>
      <x:c r="D275" s="8"/>
      <x:c r="E275" s="8"/>
      <x:c r="F275" s="8"/>
      <x:c r="G275" s="8"/>
      <x:c r="H275" s="8"/>
      <x:c r="I275" s="8"/>
      <x:c r="J275" s="8"/>
      <x:c r="K275" s="8"/>
    </x:row>
    <x:row r="276">
      <x:c r="C276" s="8"/>
      <x:c r="D276" s="8"/>
      <x:c r="E276" s="8"/>
      <x:c r="F276" s="8"/>
      <x:c r="G276" s="8"/>
      <x:c r="H276" s="8"/>
      <x:c r="I276" s="8"/>
      <x:c r="J276" s="8"/>
      <x:c r="K276" s="8"/>
    </x:row>
    <x:row r="277">
      <x:c r="C277" s="8"/>
      <x:c r="D277" s="8"/>
      <x:c r="E277" s="8"/>
      <x:c r="F277" s="8"/>
      <x:c r="G277" s="8"/>
      <x:c r="H277" s="8"/>
      <x:c r="I277" s="8"/>
      <x:c r="J277" s="8"/>
      <x:c r="K277" s="8"/>
    </x:row>
    <x:row r="278">
      <x:c r="C278" s="8"/>
      <x:c r="D278" s="8"/>
      <x:c r="E278" s="8"/>
      <x:c r="F278" s="8"/>
      <x:c r="G278" s="8"/>
      <x:c r="H278" s="8"/>
      <x:c r="I278" s="8"/>
      <x:c r="J278" s="8"/>
      <x:c r="K278" s="8"/>
    </x:row>
    <x:row r="279">
      <x:c r="C279" s="8"/>
      <x:c r="D279" s="8"/>
      <x:c r="E279" s="8"/>
      <x:c r="F279" s="8"/>
      <x:c r="G279" s="8"/>
      <x:c r="H279" s="8"/>
      <x:c r="I279" s="8"/>
      <x:c r="J279" s="8"/>
      <x:c r="K279" s="8"/>
    </x:row>
    <x:row r="280">
      <x:c r="C280" s="8"/>
      <x:c r="D280" s="8"/>
      <x:c r="E280" s="8"/>
      <x:c r="F280" s="8"/>
      <x:c r="G280" s="8"/>
      <x:c r="H280" s="8"/>
      <x:c r="I280" s="8"/>
      <x:c r="J280" s="8"/>
      <x:c r="K280" s="8"/>
    </x:row>
    <x:row r="281">
      <x:c r="C281" s="8"/>
      <x:c r="D281" s="8"/>
      <x:c r="E281" s="8"/>
      <x:c r="F281" s="8"/>
      <x:c r="G281" s="8"/>
      <x:c r="H281" s="8"/>
      <x:c r="I281" s="8"/>
      <x:c r="J281" s="8"/>
      <x:c r="K281" s="8"/>
    </x:row>
    <x:row r="282">
      <x:c r="C282" s="8"/>
      <x:c r="D282" s="8"/>
      <x:c r="E282" s="8"/>
      <x:c r="F282" s="8"/>
      <x:c r="G282" s="8"/>
      <x:c r="H282" s="8"/>
      <x:c r="I282" s="8"/>
      <x:c r="J282" s="8"/>
      <x:c r="K282" s="8"/>
    </x:row>
    <x:row r="283">
      <x:c r="C283" s="8"/>
      <x:c r="D283" s="8"/>
      <x:c r="E283" s="8"/>
      <x:c r="F283" s="8"/>
      <x:c r="G283" s="8"/>
      <x:c r="H283" s="8"/>
      <x:c r="I283" s="8"/>
      <x:c r="J283" s="8"/>
      <x:c r="K283" s="8"/>
    </x:row>
    <x:row r="284">
      <x:c r="C284" s="8"/>
      <x:c r="D284" s="8"/>
      <x:c r="E284" s="8"/>
      <x:c r="F284" s="8"/>
      <x:c r="G284" s="8"/>
      <x:c r="H284" s="8"/>
      <x:c r="I284" s="8"/>
      <x:c r="J284" s="8"/>
      <x:c r="K284" s="8"/>
    </x:row>
    <x:row r="285">
      <x:c r="C285" s="8"/>
      <x:c r="D285" s="8"/>
      <x:c r="E285" s="8"/>
      <x:c r="F285" s="8"/>
      <x:c r="G285" s="8"/>
      <x:c r="H285" s="8"/>
      <x:c r="I285" s="8"/>
      <x:c r="J285" s="8"/>
      <x:c r="K285" s="8"/>
    </x:row>
    <x:row r="286">
      <x:c r="C286" s="8"/>
      <x:c r="D286" s="8"/>
      <x:c r="E286" s="8"/>
      <x:c r="F286" s="8"/>
      <x:c r="G286" s="8"/>
      <x:c r="H286" s="8"/>
      <x:c r="I286" s="8"/>
      <x:c r="J286" s="8"/>
      <x:c r="K286" s="8"/>
    </x:row>
    <x:row r="287">
      <x:c r="C287" s="8"/>
      <x:c r="D287" s="8"/>
      <x:c r="E287" s="8"/>
      <x:c r="F287" s="8"/>
      <x:c r="G287" s="8"/>
      <x:c r="H287" s="8"/>
      <x:c r="I287" s="8"/>
      <x:c r="J287" s="8"/>
      <x:c r="K287" s="8"/>
    </x:row>
    <x:row r="288">
      <x:c r="C288" s="8"/>
      <x:c r="D288" s="8"/>
      <x:c r="E288" s="8"/>
      <x:c r="F288" s="8"/>
      <x:c r="G288" s="8"/>
      <x:c r="H288" s="8"/>
      <x:c r="I288" s="8"/>
      <x:c r="J288" s="8"/>
      <x:c r="K288" s="8"/>
    </x:row>
    <x:row r="289">
      <x:c r="C289" s="8"/>
      <x:c r="D289" s="8"/>
      <x:c r="E289" s="8"/>
      <x:c r="F289" s="8"/>
      <x:c r="G289" s="8"/>
      <x:c r="H289" s="8"/>
      <x:c r="I289" s="8"/>
      <x:c r="J289" s="8"/>
      <x:c r="K289" s="8"/>
    </x:row>
    <x:row r="290">
      <x:c r="C290" s="8"/>
      <x:c r="D290" s="8"/>
      <x:c r="E290" s="8"/>
      <x:c r="F290" s="8"/>
      <x:c r="G290" s="8"/>
      <x:c r="H290" s="8"/>
      <x:c r="I290" s="8"/>
      <x:c r="J290" s="8"/>
      <x:c r="K290" s="8"/>
    </x:row>
    <x:row r="291">
      <x:c r="C291" s="8"/>
      <x:c r="D291" s="8"/>
      <x:c r="E291" s="8"/>
      <x:c r="F291" s="8"/>
      <x:c r="G291" s="8"/>
      <x:c r="H291" s="8"/>
      <x:c r="I291" s="8"/>
      <x:c r="J291" s="8"/>
      <x:c r="K291" s="8"/>
    </x:row>
    <x:row r="292">
      <x:c r="C292" s="8"/>
      <x:c r="D292" s="8"/>
      <x:c r="E292" s="8"/>
      <x:c r="F292" s="8"/>
      <x:c r="G292" s="8"/>
      <x:c r="H292" s="8"/>
      <x:c r="I292" s="8"/>
      <x:c r="J292" s="8"/>
      <x:c r="K292" s="8"/>
    </x:row>
    <x:row r="293">
      <x:c r="C293" s="8"/>
      <x:c r="D293" s="8"/>
      <x:c r="E293" s="8"/>
      <x:c r="F293" s="8"/>
      <x:c r="G293" s="8"/>
      <x:c r="H293" s="8"/>
      <x:c r="I293" s="8"/>
      <x:c r="J293" s="8"/>
      <x:c r="K293" s="8"/>
    </x:row>
    <x:row r="294">
      <x:c r="C294" s="8"/>
      <x:c r="D294" s="8"/>
      <x:c r="E294" s="8"/>
      <x:c r="F294" s="8"/>
      <x:c r="G294" s="8"/>
      <x:c r="H294" s="8"/>
      <x:c r="I294" s="8"/>
      <x:c r="J294" s="8"/>
      <x:c r="K294" s="8"/>
    </x:row>
    <x:row r="295">
      <x:c r="C295" s="8"/>
      <x:c r="D295" s="8"/>
      <x:c r="E295" s="8"/>
      <x:c r="F295" s="8"/>
      <x:c r="G295" s="8"/>
      <x:c r="H295" s="8"/>
      <x:c r="I295" s="8"/>
      <x:c r="J295" s="8"/>
      <x:c r="K295" s="8"/>
    </x:row>
    <x:row r="296">
      <x:c r="C296" s="8"/>
      <x:c r="D296" s="8"/>
      <x:c r="E296" s="8"/>
      <x:c r="F296" s="8"/>
      <x:c r="G296" s="8"/>
      <x:c r="H296" s="8"/>
      <x:c r="I296" s="8"/>
      <x:c r="J296" s="8"/>
      <x:c r="K296" s="8"/>
    </x:row>
    <x:row r="297">
      <x:c r="C297" s="8"/>
      <x:c r="D297" s="8"/>
      <x:c r="E297" s="8"/>
      <x:c r="F297" s="8"/>
      <x:c r="G297" s="8"/>
      <x:c r="H297" s="8"/>
      <x:c r="I297" s="8"/>
      <x:c r="J297" s="8"/>
      <x:c r="K297" s="8"/>
    </x:row>
    <x:row r="298">
      <x:c r="C298" s="8"/>
      <x:c r="D298" s="8"/>
      <x:c r="E298" s="8"/>
      <x:c r="F298" s="8"/>
      <x:c r="G298" s="8"/>
      <x:c r="H298" s="8"/>
      <x:c r="I298" s="8"/>
      <x:c r="J298" s="8"/>
      <x:c r="K298" s="8"/>
    </x:row>
    <x:row r="299">
      <x:c r="C299" s="8"/>
      <x:c r="D299" s="8"/>
      <x:c r="E299" s="8"/>
      <x:c r="F299" s="8"/>
      <x:c r="G299" s="8"/>
      <x:c r="H299" s="8"/>
      <x:c r="I299" s="8"/>
      <x:c r="J299" s="8"/>
      <x:c r="K299" s="8"/>
    </x:row>
    <x:row r="300">
      <x:c r="C300" s="8"/>
      <x:c r="D300" s="8"/>
      <x:c r="E300" s="8"/>
      <x:c r="F300" s="8"/>
      <x:c r="G300" s="8"/>
      <x:c r="H300" s="8"/>
      <x:c r="I300" s="8"/>
      <x:c r="J300" s="8"/>
      <x:c r="K300" s="8"/>
    </x:row>
    <x:row r="301">
      <x:c r="C301" s="8"/>
      <x:c r="D301" s="8"/>
      <x:c r="E301" s="8"/>
      <x:c r="F301" s="8"/>
      <x:c r="G301" s="8"/>
      <x:c r="H301" s="8"/>
      <x:c r="I301" s="8"/>
      <x:c r="J301" s="8"/>
      <x:c r="K301" s="8"/>
    </x:row>
    <x:row r="302">
      <x:c r="C302" s="8"/>
      <x:c r="D302" s="8"/>
      <x:c r="E302" s="8"/>
      <x:c r="F302" s="8"/>
      <x:c r="G302" s="8"/>
      <x:c r="H302" s="8"/>
      <x:c r="I302" s="8"/>
      <x:c r="J302" s="8"/>
      <x:c r="K302" s="8"/>
    </x:row>
    <x:row r="303">
      <x:c r="C303" s="8"/>
      <x:c r="D303" s="8"/>
      <x:c r="E303" s="8"/>
      <x:c r="F303" s="8"/>
      <x:c r="G303" s="8"/>
      <x:c r="H303" s="8"/>
      <x:c r="I303" s="8"/>
      <x:c r="J303" s="8"/>
      <x:c r="K303" s="8"/>
    </x:row>
    <x:row r="304">
      <x:c r="C304" s="8"/>
      <x:c r="D304" s="8"/>
      <x:c r="E304" s="8"/>
      <x:c r="F304" s="8"/>
      <x:c r="G304" s="8"/>
      <x:c r="H304" s="8"/>
      <x:c r="I304" s="8"/>
      <x:c r="J304" s="8"/>
      <x:c r="K304" s="8"/>
    </x:row>
    <x:row r="305">
      <x:c r="C305" s="8"/>
      <x:c r="D305" s="8"/>
      <x:c r="E305" s="8"/>
      <x:c r="F305" s="8"/>
      <x:c r="G305" s="8"/>
      <x:c r="H305" s="8"/>
      <x:c r="I305" s="8"/>
      <x:c r="J305" s="8"/>
      <x:c r="K305" s="8"/>
    </x:row>
    <x:row r="306">
      <x:c r="C306" s="8"/>
      <x:c r="D306" s="8"/>
      <x:c r="E306" s="8"/>
      <x:c r="F306" s="8"/>
      <x:c r="G306" s="8"/>
      <x:c r="H306" s="8"/>
      <x:c r="I306" s="8"/>
      <x:c r="J306" s="8"/>
      <x:c r="K306" s="8"/>
    </x:row>
    <x:row r="307">
      <x:c r="C307" s="8"/>
      <x:c r="D307" s="8"/>
      <x:c r="E307" s="8"/>
      <x:c r="F307" s="8"/>
      <x:c r="G307" s="8"/>
      <x:c r="H307" s="8"/>
      <x:c r="I307" s="8"/>
      <x:c r="J307" s="8"/>
      <x:c r="K307" s="8"/>
    </x:row>
    <x:row r="308">
      <x:c r="C308" s="8"/>
      <x:c r="D308" s="8"/>
      <x:c r="E308" s="8"/>
      <x:c r="F308" s="8"/>
      <x:c r="G308" s="8"/>
      <x:c r="H308" s="8"/>
      <x:c r="I308" s="8"/>
      <x:c r="J308" s="8"/>
      <x:c r="K308" s="8"/>
    </x:row>
    <x:row r="309">
      <x:c r="C309" s="8"/>
      <x:c r="D309" s="8"/>
      <x:c r="E309" s="8"/>
      <x:c r="F309" s="8"/>
      <x:c r="G309" s="8"/>
      <x:c r="H309" s="8"/>
      <x:c r="I309" s="8"/>
      <x:c r="J309" s="8"/>
      <x:c r="K309" s="8"/>
    </x:row>
    <x:row r="310">
      <x:c r="C310" s="8"/>
      <x:c r="D310" s="8"/>
      <x:c r="E310" s="8"/>
      <x:c r="F310" s="8"/>
      <x:c r="G310" s="8"/>
      <x:c r="H310" s="8"/>
      <x:c r="I310" s="8"/>
      <x:c r="J310" s="8"/>
      <x:c r="K310" s="8"/>
    </x:row>
    <x:row r="311">
      <x:c r="C311" s="8"/>
      <x:c r="D311" s="8"/>
      <x:c r="E311" s="8"/>
      <x:c r="F311" s="8"/>
      <x:c r="G311" s="8"/>
      <x:c r="H311" s="8"/>
      <x:c r="I311" s="8"/>
      <x:c r="J311" s="8"/>
      <x:c r="K311" s="8"/>
    </x:row>
    <x:row r="312">
      <x:c r="C312" s="8"/>
      <x:c r="D312" s="8"/>
      <x:c r="E312" s="8"/>
      <x:c r="F312" s="8"/>
      <x:c r="G312" s="8"/>
      <x:c r="H312" s="8"/>
      <x:c r="I312" s="8"/>
      <x:c r="J312" s="8"/>
      <x:c r="K312" s="8"/>
    </x:row>
    <x:row r="313">
      <x:c r="C313" s="8"/>
      <x:c r="D313" s="8"/>
      <x:c r="E313" s="8"/>
      <x:c r="F313" s="8"/>
      <x:c r="G313" s="8"/>
      <x:c r="H313" s="8"/>
      <x:c r="I313" s="8"/>
      <x:c r="J313" s="8"/>
      <x:c r="K313" s="8"/>
    </x:row>
    <x:row r="314">
      <x:c r="C314" s="8"/>
      <x:c r="D314" s="8"/>
      <x:c r="E314" s="8"/>
      <x:c r="F314" s="8"/>
      <x:c r="G314" s="8"/>
      <x:c r="H314" s="8"/>
      <x:c r="I314" s="8"/>
      <x:c r="J314" s="8"/>
      <x:c r="K314" s="8"/>
    </x:row>
    <x:row r="315">
      <x:c r="C315" s="8"/>
      <x:c r="D315" s="8"/>
      <x:c r="E315" s="8"/>
      <x:c r="F315" s="8"/>
      <x:c r="G315" s="8"/>
      <x:c r="H315" s="8"/>
      <x:c r="I315" s="8"/>
      <x:c r="J315" s="8"/>
      <x:c r="K315" s="8"/>
    </x:row>
    <x:row r="316">
      <x:c r="C316" s="8"/>
      <x:c r="D316" s="8"/>
      <x:c r="E316" s="8"/>
      <x:c r="F316" s="8"/>
      <x:c r="G316" s="8"/>
      <x:c r="H316" s="8"/>
      <x:c r="I316" s="8"/>
      <x:c r="J316" s="8"/>
      <x:c r="K316" s="8"/>
    </x:row>
    <x:row r="317">
      <x:c r="C317" s="8"/>
      <x:c r="D317" s="8"/>
      <x:c r="E317" s="8"/>
      <x:c r="F317" s="8"/>
      <x:c r="G317" s="8"/>
      <x:c r="H317" s="8"/>
      <x:c r="I317" s="8"/>
      <x:c r="J317" s="8"/>
      <x:c r="K317" s="8"/>
    </x:row>
    <x:row r="318">
      <x:c r="C318" s="8"/>
      <x:c r="D318" s="8"/>
      <x:c r="E318" s="8"/>
      <x:c r="F318" s="8"/>
      <x:c r="G318" s="8"/>
      <x:c r="H318" s="8"/>
      <x:c r="I318" s="8"/>
      <x:c r="J318" s="8"/>
      <x:c r="K318" s="8"/>
    </x:row>
    <x:row r="319">
      <x:c r="C319" s="8"/>
      <x:c r="D319" s="8"/>
      <x:c r="E319" s="8"/>
      <x:c r="F319" s="8"/>
      <x:c r="G319" s="8"/>
      <x:c r="H319" s="8"/>
      <x:c r="I319" s="8"/>
      <x:c r="J319" s="8"/>
      <x:c r="K319" s="8"/>
    </x:row>
    <x:row r="320">
      <x:c r="C320" s="8"/>
      <x:c r="D320" s="8"/>
      <x:c r="E320" s="8"/>
      <x:c r="F320" s="8"/>
      <x:c r="G320" s="8"/>
      <x:c r="H320" s="8"/>
      <x:c r="I320" s="8"/>
      <x:c r="J320" s="8"/>
      <x:c r="K320" s="8"/>
    </x:row>
    <x:row r="321">
      <x:c r="C321" s="8"/>
      <x:c r="D321" s="8"/>
      <x:c r="E321" s="8"/>
      <x:c r="F321" s="8"/>
      <x:c r="G321" s="8"/>
      <x:c r="H321" s="8"/>
      <x:c r="I321" s="8"/>
      <x:c r="J321" s="8"/>
      <x:c r="K321" s="8"/>
    </x:row>
    <x:row r="322">
      <x:c r="C322" s="8"/>
      <x:c r="D322" s="8"/>
      <x:c r="E322" s="8"/>
      <x:c r="F322" s="8"/>
      <x:c r="G322" s="8"/>
      <x:c r="H322" s="8"/>
      <x:c r="I322" s="8"/>
      <x:c r="J322" s="8"/>
      <x:c r="K322" s="8"/>
    </x:row>
    <x:row r="323">
      <x:c r="C323" s="8"/>
      <x:c r="D323" s="8"/>
      <x:c r="E323" s="8"/>
      <x:c r="F323" s="8"/>
      <x:c r="G323" s="8"/>
      <x:c r="H323" s="8"/>
      <x:c r="I323" s="8"/>
      <x:c r="J323" s="8"/>
      <x:c r="K323" s="8"/>
    </x:row>
    <x:row r="324">
      <x:c r="C324" s="8"/>
      <x:c r="D324" s="8"/>
      <x:c r="E324" s="8"/>
      <x:c r="F324" s="8"/>
      <x:c r="G324" s="8"/>
      <x:c r="H324" s="8"/>
      <x:c r="I324" s="8"/>
      <x:c r="J324" s="8"/>
      <x:c r="K324" s="8"/>
    </x:row>
    <x:row r="325">
      <x:c r="C325" s="8"/>
      <x:c r="D325" s="8"/>
      <x:c r="E325" s="8"/>
      <x:c r="F325" s="8"/>
      <x:c r="G325" s="8"/>
      <x:c r="H325" s="8"/>
      <x:c r="I325" s="8"/>
      <x:c r="J325" s="8"/>
      <x:c r="K325" s="8"/>
    </x:row>
    <x:row r="326">
      <x:c r="C326" s="8"/>
      <x:c r="D326" s="8"/>
      <x:c r="E326" s="8"/>
      <x:c r="F326" s="8"/>
      <x:c r="G326" s="8"/>
      <x:c r="H326" s="8"/>
      <x:c r="I326" s="8"/>
      <x:c r="J326" s="8"/>
      <x:c r="K326" s="8"/>
    </x:row>
    <x:row r="327">
      <x:c r="C327" s="8"/>
      <x:c r="D327" s="8"/>
      <x:c r="E327" s="8"/>
      <x:c r="F327" s="8"/>
      <x:c r="G327" s="8"/>
      <x:c r="H327" s="8"/>
      <x:c r="I327" s="8"/>
      <x:c r="J327" s="8"/>
      <x:c r="K327" s="8"/>
    </x:row>
    <x:row r="328">
      <x:c r="C328" s="8"/>
      <x:c r="D328" s="8"/>
      <x:c r="E328" s="8"/>
      <x:c r="F328" s="8"/>
      <x:c r="G328" s="8"/>
      <x:c r="H328" s="8"/>
      <x:c r="I328" s="8"/>
      <x:c r="J328" s="8"/>
      <x:c r="K328" s="8"/>
    </x:row>
    <x:row r="329">
      <x:c r="C329" s="8"/>
      <x:c r="D329" s="8"/>
      <x:c r="E329" s="8"/>
      <x:c r="F329" s="8"/>
      <x:c r="G329" s="8"/>
      <x:c r="H329" s="8"/>
      <x:c r="I329" s="8"/>
      <x:c r="J329" s="8"/>
      <x:c r="K329" s="8"/>
    </x:row>
    <x:row r="330">
      <x:c r="C330" s="8"/>
      <x:c r="D330" s="8"/>
      <x:c r="E330" s="8"/>
      <x:c r="F330" s="8"/>
      <x:c r="G330" s="8"/>
      <x:c r="H330" s="8"/>
      <x:c r="I330" s="8"/>
      <x:c r="J330" s="8"/>
      <x:c r="K330" s="8"/>
    </x:row>
    <x:row r="331">
      <x:c r="C331" s="8"/>
      <x:c r="D331" s="8"/>
      <x:c r="E331" s="8"/>
      <x:c r="F331" s="8"/>
      <x:c r="G331" s="8"/>
      <x:c r="H331" s="8"/>
      <x:c r="I331" s="8"/>
      <x:c r="J331" s="8"/>
      <x:c r="K331" s="8"/>
    </x:row>
    <x:row r="332">
      <x:c r="C332" s="8"/>
      <x:c r="D332" s="8"/>
      <x:c r="E332" s="8"/>
      <x:c r="F332" s="8"/>
      <x:c r="G332" s="8"/>
      <x:c r="H332" s="8"/>
      <x:c r="I332" s="8"/>
      <x:c r="J332" s="8"/>
      <x:c r="K332" s="8"/>
    </x:row>
    <x:row r="333">
      <x:c r="C333" s="8"/>
      <x:c r="D333" s="8"/>
      <x:c r="E333" s="8"/>
      <x:c r="F333" s="8"/>
      <x:c r="G333" s="8"/>
      <x:c r="H333" s="8"/>
      <x:c r="I333" s="8"/>
      <x:c r="J333" s="8"/>
      <x:c r="K333" s="8"/>
    </x:row>
    <x:row r="334">
      <x:c r="C334" s="8"/>
      <x:c r="D334" s="8"/>
      <x:c r="E334" s="8"/>
      <x:c r="F334" s="8"/>
      <x:c r="G334" s="8"/>
      <x:c r="H334" s="8"/>
      <x:c r="I334" s="8"/>
      <x:c r="J334" s="8"/>
      <x:c r="K334" s="8"/>
    </x:row>
    <x:row r="335">
      <x:c r="C335" s="8"/>
      <x:c r="D335" s="8"/>
      <x:c r="E335" s="8"/>
      <x:c r="F335" s="8"/>
      <x:c r="G335" s="8"/>
      <x:c r="H335" s="8"/>
      <x:c r="I335" s="8"/>
      <x:c r="J335" s="8"/>
      <x:c r="K335" s="8"/>
    </x:row>
    <x:row r="336">
      <x:c r="C336" s="8"/>
      <x:c r="D336" s="8"/>
      <x:c r="E336" s="8"/>
      <x:c r="F336" s="8"/>
      <x:c r="G336" s="8"/>
      <x:c r="H336" s="8"/>
      <x:c r="I336" s="8"/>
      <x:c r="J336" s="8"/>
      <x:c r="K336" s="8"/>
    </x:row>
    <x:row r="337">
      <x:c r="C337" s="8"/>
      <x:c r="D337" s="8"/>
      <x:c r="E337" s="8"/>
      <x:c r="F337" s="8"/>
      <x:c r="G337" s="8"/>
      <x:c r="H337" s="8"/>
      <x:c r="I337" s="8"/>
      <x:c r="J337" s="8"/>
      <x:c r="K337" s="8"/>
    </x:row>
    <x:row r="338">
      <x:c r="C338" s="8"/>
      <x:c r="D338" s="8"/>
      <x:c r="E338" s="8"/>
      <x:c r="F338" s="8"/>
      <x:c r="G338" s="8"/>
      <x:c r="H338" s="8"/>
      <x:c r="I338" s="8"/>
      <x:c r="J338" s="8"/>
      <x:c r="K338" s="8"/>
    </x:row>
    <x:row r="339">
      <x:c r="C339" s="8"/>
      <x:c r="D339" s="8"/>
      <x:c r="E339" s="8"/>
      <x:c r="F339" s="8"/>
      <x:c r="G339" s="8"/>
      <x:c r="H339" s="8"/>
      <x:c r="I339" s="8"/>
      <x:c r="J339" s="8"/>
      <x:c r="K339" s="8"/>
    </x:row>
    <x:row r="340">
      <x:c r="C340" s="8"/>
      <x:c r="D340" s="8"/>
      <x:c r="E340" s="8"/>
      <x:c r="F340" s="8"/>
      <x:c r="G340" s="8"/>
      <x:c r="H340" s="8"/>
      <x:c r="I340" s="8"/>
      <x:c r="J340" s="8"/>
      <x:c r="K340" s="8"/>
    </x:row>
    <x:row r="341">
      <x:c r="C341" s="8"/>
      <x:c r="D341" s="8"/>
      <x:c r="E341" s="8"/>
      <x:c r="F341" s="8"/>
      <x:c r="G341" s="8"/>
      <x:c r="H341" s="8"/>
      <x:c r="I341" s="8"/>
      <x:c r="J341" s="8"/>
      <x:c r="K341" s="8"/>
    </x:row>
    <x:row r="342">
      <x:c r="C342" s="8"/>
      <x:c r="D342" s="8"/>
      <x:c r="E342" s="8"/>
      <x:c r="F342" s="8"/>
      <x:c r="G342" s="8"/>
      <x:c r="H342" s="8"/>
      <x:c r="I342" s="8"/>
      <x:c r="J342" s="8"/>
      <x:c r="K342" s="8"/>
    </x:row>
    <x:row r="343">
      <x:c r="C343" s="8"/>
      <x:c r="D343" s="8"/>
      <x:c r="E343" s="8"/>
      <x:c r="F343" s="8"/>
      <x:c r="G343" s="8"/>
      <x:c r="H343" s="8"/>
      <x:c r="I343" s="8"/>
      <x:c r="J343" s="8"/>
      <x:c r="K343" s="8"/>
    </x:row>
    <x:row r="344">
      <x:c r="C344" s="8"/>
      <x:c r="D344" s="8"/>
      <x:c r="E344" s="8"/>
      <x:c r="F344" s="8"/>
      <x:c r="G344" s="8"/>
      <x:c r="H344" s="8"/>
      <x:c r="I344" s="8"/>
      <x:c r="J344" s="8"/>
      <x:c r="K344" s="8"/>
    </x:row>
    <x:row r="345">
      <x:c r="C345" s="8"/>
      <x:c r="D345" s="8"/>
      <x:c r="E345" s="8"/>
      <x:c r="F345" s="8"/>
      <x:c r="G345" s="8"/>
      <x:c r="H345" s="8"/>
      <x:c r="I345" s="8"/>
      <x:c r="J345" s="8"/>
      <x:c r="K345" s="8"/>
    </x:row>
    <x:row r="346">
      <x:c r="C346" s="8"/>
      <x:c r="D346" s="8"/>
      <x:c r="E346" s="8"/>
      <x:c r="F346" s="8"/>
      <x:c r="G346" s="8"/>
      <x:c r="H346" s="8"/>
      <x:c r="I346" s="8"/>
      <x:c r="J346" s="8"/>
      <x:c r="K346" s="8"/>
    </x:row>
    <x:row r="347">
      <x:c r="C347" s="8"/>
      <x:c r="D347" s="8"/>
      <x:c r="E347" s="8"/>
      <x:c r="F347" s="8"/>
      <x:c r="G347" s="8"/>
      <x:c r="H347" s="8"/>
      <x:c r="I347" s="8"/>
      <x:c r="J347" s="8"/>
      <x:c r="K347" s="8"/>
    </x:row>
    <x:row r="348">
      <x:c r="C348" s="8"/>
      <x:c r="D348" s="8"/>
      <x:c r="E348" s="8"/>
      <x:c r="F348" s="8"/>
      <x:c r="G348" s="8"/>
      <x:c r="H348" s="8"/>
      <x:c r="I348" s="8"/>
      <x:c r="J348" s="8"/>
      <x:c r="K348" s="8"/>
    </x:row>
    <x:row r="349">
      <x:c r="C349" s="8"/>
      <x:c r="D349" s="8"/>
      <x:c r="E349" s="8"/>
      <x:c r="F349" s="8"/>
      <x:c r="G349" s="8"/>
      <x:c r="H349" s="8"/>
      <x:c r="I349" s="8"/>
      <x:c r="J349" s="8"/>
      <x:c r="K349" s="8"/>
    </x:row>
    <x:row r="350">
      <x:c r="C350" s="8"/>
      <x:c r="D350" s="8"/>
      <x:c r="E350" s="8"/>
      <x:c r="F350" s="8"/>
      <x:c r="G350" s="8"/>
      <x:c r="H350" s="8"/>
      <x:c r="I350" s="8"/>
      <x:c r="J350" s="8"/>
      <x:c r="K350" s="8"/>
    </x:row>
    <x:row r="351">
      <x:c r="C351" s="8"/>
      <x:c r="D351" s="8"/>
      <x:c r="E351" s="8"/>
      <x:c r="F351" s="8"/>
      <x:c r="G351" s="8"/>
      <x:c r="H351" s="8"/>
      <x:c r="I351" s="8"/>
      <x:c r="J351" s="8"/>
      <x:c r="K351" s="8"/>
    </x:row>
    <x:row r="352">
      <x:c r="C352" s="8"/>
      <x:c r="D352" s="8"/>
      <x:c r="E352" s="8"/>
      <x:c r="F352" s="8"/>
      <x:c r="G352" s="8"/>
      <x:c r="H352" s="8"/>
      <x:c r="I352" s="8"/>
      <x:c r="J352" s="8"/>
      <x:c r="K352" s="8"/>
    </x:row>
    <x:row r="353">
      <x:c r="C353" s="8"/>
      <x:c r="D353" s="8"/>
      <x:c r="E353" s="8"/>
      <x:c r="F353" s="8"/>
      <x:c r="G353" s="8"/>
      <x:c r="H353" s="8"/>
      <x:c r="I353" s="8"/>
      <x:c r="J353" s="8"/>
      <x:c r="K353" s="8"/>
    </x:row>
    <x:row r="354">
      <x:c r="C354" s="8"/>
      <x:c r="D354" s="8"/>
      <x:c r="E354" s="8"/>
      <x:c r="F354" s="8"/>
      <x:c r="G354" s="8"/>
      <x:c r="H354" s="8"/>
      <x:c r="I354" s="8"/>
      <x:c r="J354" s="8"/>
      <x:c r="K354" s="8"/>
    </x:row>
    <x:row r="355">
      <x:c r="C355" s="8"/>
      <x:c r="D355" s="8"/>
      <x:c r="E355" s="8"/>
      <x:c r="F355" s="8"/>
      <x:c r="G355" s="8"/>
      <x:c r="H355" s="8"/>
      <x:c r="I355" s="8"/>
      <x:c r="J355" s="8"/>
      <x:c r="K355" s="8"/>
    </x:row>
    <x:row r="356">
      <x:c r="C356" s="8"/>
      <x:c r="D356" s="8"/>
      <x:c r="E356" s="8"/>
      <x:c r="F356" s="8"/>
      <x:c r="G356" s="8"/>
      <x:c r="H356" s="8"/>
      <x:c r="I356" s="8"/>
      <x:c r="J356" s="8"/>
      <x:c r="K356" s="8"/>
    </x:row>
    <x:row r="357">
      <x:c r="C357" s="8"/>
      <x:c r="D357" s="8"/>
      <x:c r="E357" s="8"/>
      <x:c r="F357" s="8"/>
      <x:c r="G357" s="8"/>
      <x:c r="H357" s="8"/>
      <x:c r="I357" s="8"/>
      <x:c r="J357" s="8"/>
      <x:c r="K357" s="8"/>
    </x:row>
    <x:row r="358">
      <x:c r="C358" s="8"/>
      <x:c r="D358" s="8"/>
      <x:c r="E358" s="8"/>
      <x:c r="F358" s="8"/>
      <x:c r="G358" s="8"/>
      <x:c r="H358" s="8"/>
      <x:c r="I358" s="8"/>
      <x:c r="J358" s="8"/>
      <x:c r="K358" s="8"/>
    </x:row>
    <x:row r="359">
      <x:c r="C359" s="8"/>
      <x:c r="D359" s="8"/>
      <x:c r="E359" s="8"/>
      <x:c r="F359" s="8"/>
      <x:c r="G359" s="8"/>
      <x:c r="H359" s="8"/>
      <x:c r="I359" s="8"/>
      <x:c r="J359" s="8"/>
      <x:c r="K359" s="8"/>
    </x:row>
    <x:row r="360">
      <x:c r="C360" s="8"/>
      <x:c r="D360" s="8"/>
      <x:c r="E360" s="8"/>
      <x:c r="F360" s="8"/>
      <x:c r="G360" s="8"/>
      <x:c r="H360" s="8"/>
      <x:c r="I360" s="8"/>
      <x:c r="J360" s="8"/>
      <x:c r="K360" s="8"/>
    </x:row>
    <x:row r="361">
      <x:c r="C361" s="8"/>
      <x:c r="D361" s="8"/>
      <x:c r="E361" s="8"/>
      <x:c r="F361" s="8"/>
      <x:c r="G361" s="8"/>
      <x:c r="H361" s="8"/>
      <x:c r="I361" s="8"/>
      <x:c r="J361" s="8"/>
      <x:c r="K361" s="8"/>
    </x:row>
    <x:row r="362">
      <x:c r="C362" s="8"/>
      <x:c r="D362" s="8"/>
      <x:c r="E362" s="8"/>
      <x:c r="F362" s="8"/>
      <x:c r="G362" s="8"/>
      <x:c r="H362" s="8"/>
      <x:c r="I362" s="8"/>
      <x:c r="J362" s="8"/>
      <x:c r="K362" s="8"/>
    </x:row>
    <x:row r="363">
      <x:c r="C363" s="8"/>
      <x:c r="D363" s="8"/>
      <x:c r="E363" s="8"/>
      <x:c r="F363" s="8"/>
      <x:c r="G363" s="8"/>
      <x:c r="H363" s="8"/>
      <x:c r="I363" s="8"/>
      <x:c r="J363" s="8"/>
      <x:c r="K363" s="8"/>
    </x:row>
    <x:row r="364">
      <x:c r="C364" s="8"/>
      <x:c r="D364" s="8"/>
      <x:c r="E364" s="8"/>
      <x:c r="F364" s="8"/>
      <x:c r="G364" s="8"/>
      <x:c r="H364" s="8"/>
      <x:c r="I364" s="8"/>
      <x:c r="J364" s="8"/>
      <x:c r="K364" s="8"/>
    </x:row>
    <x:row r="365">
      <x:c r="C365" s="8"/>
      <x:c r="D365" s="8"/>
      <x:c r="E365" s="8"/>
      <x:c r="F365" s="8"/>
      <x:c r="G365" s="8"/>
      <x:c r="H365" s="8"/>
      <x:c r="I365" s="8"/>
      <x:c r="J365" s="8"/>
      <x:c r="K365" s="8"/>
    </x:row>
    <x:row r="366">
      <x:c r="C366" s="8"/>
      <x:c r="D366" s="8"/>
      <x:c r="E366" s="8"/>
      <x:c r="F366" s="8"/>
      <x:c r="G366" s="8"/>
      <x:c r="H366" s="8"/>
      <x:c r="I366" s="8"/>
      <x:c r="J366" s="8"/>
      <x:c r="K366" s="8"/>
    </x:row>
    <x:row r="367">
      <x:c r="C367" s="8"/>
      <x:c r="D367" s="8"/>
      <x:c r="E367" s="8"/>
      <x:c r="F367" s="8"/>
      <x:c r="G367" s="8"/>
      <x:c r="H367" s="8"/>
      <x:c r="I367" s="8"/>
      <x:c r="J367" s="8"/>
      <x:c r="K367" s="8"/>
    </x:row>
    <x:row r="368">
      <x:c r="C368" s="8"/>
      <x:c r="D368" s="8"/>
      <x:c r="E368" s="8"/>
      <x:c r="F368" s="8"/>
      <x:c r="G368" s="8"/>
      <x:c r="H368" s="8"/>
      <x:c r="I368" s="8"/>
      <x:c r="J368" s="8"/>
      <x:c r="K368" s="8"/>
    </x:row>
    <x:row r="369">
      <x:c r="C369" s="8"/>
      <x:c r="D369" s="8"/>
      <x:c r="E369" s="8"/>
      <x:c r="F369" s="8"/>
      <x:c r="G369" s="8"/>
      <x:c r="H369" s="8"/>
      <x:c r="I369" s="8"/>
      <x:c r="J369" s="8"/>
      <x:c r="K369" s="8"/>
    </x:row>
    <x:row r="370">
      <x:c r="C370" s="8"/>
      <x:c r="D370" s="8"/>
      <x:c r="E370" s="8"/>
      <x:c r="F370" s="8"/>
      <x:c r="G370" s="8"/>
      <x:c r="H370" s="8"/>
      <x:c r="I370" s="8"/>
      <x:c r="J370" s="8"/>
      <x:c r="K370" s="8"/>
    </x:row>
    <x:row r="371">
      <x:c r="C371" s="8"/>
      <x:c r="D371" s="8"/>
      <x:c r="E371" s="8"/>
      <x:c r="F371" s="8"/>
      <x:c r="G371" s="8"/>
      <x:c r="H371" s="8"/>
      <x:c r="I371" s="8"/>
      <x:c r="J371" s="8"/>
      <x:c r="K371" s="8"/>
    </x:row>
    <x:row r="372">
      <x:c r="C372" s="8"/>
      <x:c r="D372" s="8"/>
      <x:c r="E372" s="8"/>
      <x:c r="F372" s="8"/>
      <x:c r="G372" s="8"/>
      <x:c r="H372" s="8"/>
      <x:c r="I372" s="8"/>
      <x:c r="J372" s="8"/>
      <x:c r="K372" s="8"/>
    </x:row>
    <x:row r="373">
      <x:c r="C373" s="8"/>
      <x:c r="D373" s="8"/>
      <x:c r="E373" s="8"/>
      <x:c r="F373" s="8"/>
      <x:c r="G373" s="8"/>
      <x:c r="H373" s="8"/>
      <x:c r="I373" s="8"/>
      <x:c r="J373" s="8"/>
      <x:c r="K373" s="8"/>
    </x:row>
    <x:row r="374">
      <x:c r="C374" s="8"/>
      <x:c r="D374" s="8"/>
      <x:c r="E374" s="8"/>
      <x:c r="F374" s="8"/>
      <x:c r="G374" s="8"/>
      <x:c r="H374" s="8"/>
      <x:c r="I374" s="8"/>
      <x:c r="J374" s="8"/>
      <x:c r="K374" s="8"/>
    </x:row>
    <x:row r="375">
      <x:c r="C375" s="8"/>
      <x:c r="D375" s="8"/>
      <x:c r="E375" s="8"/>
      <x:c r="F375" s="8"/>
      <x:c r="G375" s="8"/>
      <x:c r="H375" s="8"/>
      <x:c r="I375" s="8"/>
      <x:c r="J375" s="8"/>
      <x:c r="K375" s="8"/>
    </x:row>
    <x:row r="376">
      <x:c r="C376" s="8"/>
      <x:c r="D376" s="8"/>
      <x:c r="E376" s="8"/>
      <x:c r="F376" s="8"/>
      <x:c r="G376" s="8"/>
      <x:c r="H376" s="8"/>
      <x:c r="I376" s="8"/>
      <x:c r="J376" s="8"/>
      <x:c r="K376" s="8"/>
    </x:row>
    <x:row r="377">
      <x:c r="C377" s="8"/>
      <x:c r="D377" s="8"/>
      <x:c r="E377" s="8"/>
      <x:c r="F377" s="8"/>
      <x:c r="G377" s="8"/>
      <x:c r="H377" s="8"/>
      <x:c r="I377" s="8"/>
      <x:c r="J377" s="8"/>
      <x:c r="K377" s="8"/>
    </x:row>
    <x:row r="378">
      <x:c r="C378" s="8"/>
      <x:c r="D378" s="8"/>
      <x:c r="E378" s="8"/>
      <x:c r="F378" s="8"/>
      <x:c r="G378" s="8"/>
      <x:c r="H378" s="8"/>
      <x:c r="I378" s="8"/>
      <x:c r="J378" s="8"/>
      <x:c r="K378" s="8"/>
    </x:row>
    <x:row r="379">
      <x:c r="C379" s="8"/>
      <x:c r="D379" s="8"/>
      <x:c r="E379" s="8"/>
      <x:c r="F379" s="8"/>
      <x:c r="G379" s="8"/>
      <x:c r="H379" s="8"/>
      <x:c r="I379" s="8"/>
      <x:c r="J379" s="8"/>
      <x:c r="K379" s="8"/>
    </x:row>
    <x:row r="380">
      <x:c r="C380" s="8"/>
      <x:c r="D380" s="8"/>
      <x:c r="E380" s="8"/>
      <x:c r="F380" s="8"/>
      <x:c r="G380" s="8"/>
      <x:c r="H380" s="8"/>
      <x:c r="I380" s="8"/>
      <x:c r="J380" s="8"/>
      <x:c r="K380" s="8"/>
    </x:row>
    <x:row r="381">
      <x:c r="C381" s="8"/>
      <x:c r="D381" s="8"/>
      <x:c r="E381" s="8"/>
      <x:c r="F381" s="8"/>
      <x:c r="G381" s="8"/>
      <x:c r="H381" s="8"/>
      <x:c r="I381" s="8"/>
      <x:c r="J381" s="8"/>
      <x:c r="K381" s="8"/>
    </x:row>
    <x:row r="382">
      <x:c r="C382" s="8"/>
      <x:c r="D382" s="8"/>
      <x:c r="E382" s="8"/>
      <x:c r="F382" s="8"/>
      <x:c r="G382" s="8"/>
      <x:c r="H382" s="8"/>
      <x:c r="I382" s="8"/>
      <x:c r="J382" s="8"/>
      <x:c r="K382" s="8"/>
    </x:row>
    <x:row r="383">
      <x:c r="C383" s="8"/>
      <x:c r="D383" s="8"/>
      <x:c r="E383" s="8"/>
      <x:c r="F383" s="8"/>
      <x:c r="G383" s="8"/>
      <x:c r="H383" s="8"/>
      <x:c r="I383" s="8"/>
      <x:c r="J383" s="8"/>
      <x:c r="K383" s="8"/>
    </x:row>
    <x:row r="384">
      <x:c r="C384" s="8"/>
      <x:c r="D384" s="8"/>
      <x:c r="E384" s="8"/>
      <x:c r="F384" s="8"/>
      <x:c r="G384" s="8"/>
      <x:c r="H384" s="8"/>
      <x:c r="I384" s="8"/>
      <x:c r="J384" s="8"/>
      <x:c r="K384" s="8"/>
    </x:row>
    <x:row r="385">
      <x:c r="C385" s="8"/>
      <x:c r="D385" s="8"/>
      <x:c r="E385" s="8"/>
      <x:c r="F385" s="8"/>
      <x:c r="G385" s="8"/>
      <x:c r="H385" s="8"/>
      <x:c r="I385" s="8"/>
      <x:c r="J385" s="8"/>
      <x:c r="K385" s="8"/>
    </x:row>
    <x:row r="386">
      <x:c r="C386" s="8"/>
      <x:c r="D386" s="8"/>
      <x:c r="E386" s="8"/>
      <x:c r="F386" s="8"/>
      <x:c r="G386" s="8"/>
      <x:c r="H386" s="8"/>
      <x:c r="I386" s="8"/>
      <x:c r="J386" s="8"/>
      <x:c r="K386" s="8"/>
    </x:row>
    <x:row r="387">
      <x:c r="C387" s="8"/>
      <x:c r="D387" s="8"/>
      <x:c r="E387" s="8"/>
      <x:c r="F387" s="8"/>
      <x:c r="G387" s="8"/>
      <x:c r="H387" s="8"/>
      <x:c r="I387" s="8"/>
      <x:c r="J387" s="8"/>
      <x:c r="K387" s="8"/>
    </x:row>
    <x:row r="388">
      <x:c r="C388" s="8"/>
      <x:c r="D388" s="8"/>
      <x:c r="E388" s="8"/>
      <x:c r="F388" s="8"/>
      <x:c r="G388" s="8"/>
      <x:c r="H388" s="8"/>
      <x:c r="I388" s="8"/>
      <x:c r="J388" s="8"/>
      <x:c r="K388" s="8"/>
    </x:row>
    <x:row r="389">
      <x:c r="C389" s="8"/>
      <x:c r="D389" s="8"/>
      <x:c r="E389" s="8"/>
      <x:c r="F389" s="8"/>
      <x:c r="G389" s="8"/>
      <x:c r="H389" s="8"/>
      <x:c r="I389" s="8"/>
      <x:c r="J389" s="8"/>
      <x:c r="K389" s="8"/>
    </x:row>
    <x:row r="390">
      <x:c r="C390" s="8"/>
      <x:c r="D390" s="8"/>
      <x:c r="E390" s="8"/>
      <x:c r="F390" s="8"/>
      <x:c r="G390" s="8"/>
      <x:c r="H390" s="8"/>
      <x:c r="I390" s="8"/>
      <x:c r="J390" s="8"/>
      <x:c r="K390" s="8"/>
    </x:row>
    <x:row r="391">
      <x:c r="C391" s="8"/>
      <x:c r="D391" s="8"/>
      <x:c r="E391" s="8"/>
      <x:c r="F391" s="8"/>
      <x:c r="G391" s="8"/>
      <x:c r="H391" s="8"/>
      <x:c r="I391" s="8"/>
      <x:c r="J391" s="8"/>
      <x:c r="K391" s="8"/>
    </x:row>
    <x:row r="392">
      <x:c r="C392" s="8"/>
      <x:c r="D392" s="8"/>
      <x:c r="E392" s="8"/>
      <x:c r="F392" s="8"/>
      <x:c r="G392" s="8"/>
      <x:c r="H392" s="8"/>
      <x:c r="I392" s="8"/>
      <x:c r="J392" s="8"/>
      <x:c r="K392" s="8"/>
    </x:row>
    <x:row r="393">
      <x:c r="C393" s="8"/>
      <x:c r="D393" s="8"/>
      <x:c r="E393" s="8"/>
      <x:c r="F393" s="8"/>
      <x:c r="G393" s="8"/>
      <x:c r="H393" s="8"/>
      <x:c r="I393" s="8"/>
      <x:c r="J393" s="8"/>
      <x:c r="K393" s="8"/>
    </x:row>
    <x:row r="394">
      <x:c r="C394" s="8"/>
      <x:c r="D394" s="8"/>
      <x:c r="E394" s="8"/>
      <x:c r="F394" s="8"/>
      <x:c r="G394" s="8"/>
      <x:c r="H394" s="8"/>
      <x:c r="I394" s="8"/>
      <x:c r="J394" s="8"/>
      <x:c r="K394" s="8"/>
    </x:row>
    <x:row r="395">
      <x:c r="C395" s="8"/>
      <x:c r="D395" s="8"/>
      <x:c r="E395" s="8"/>
      <x:c r="F395" s="8"/>
      <x:c r="G395" s="8"/>
      <x:c r="H395" s="8"/>
      <x:c r="I395" s="8"/>
      <x:c r="J395" s="8"/>
      <x:c r="K395" s="8"/>
    </x:row>
    <x:row r="396">
      <x:c r="C396" s="8"/>
      <x:c r="D396" s="8"/>
      <x:c r="E396" s="8"/>
      <x:c r="F396" s="8"/>
      <x:c r="G396" s="8"/>
      <x:c r="H396" s="8"/>
      <x:c r="I396" s="8"/>
      <x:c r="J396" s="8"/>
      <x:c r="K396" s="8"/>
    </x:row>
    <x:row r="397">
      <x:c r="C397" s="8"/>
      <x:c r="D397" s="8"/>
      <x:c r="E397" s="8"/>
      <x:c r="F397" s="8"/>
      <x:c r="G397" s="8"/>
      <x:c r="H397" s="8"/>
      <x:c r="I397" s="8"/>
      <x:c r="J397" s="8"/>
      <x:c r="K397" s="8"/>
    </x:row>
    <x:row r="398">
      <x:c r="C398" s="8"/>
      <x:c r="D398" s="8"/>
      <x:c r="E398" s="8"/>
      <x:c r="F398" s="8"/>
      <x:c r="G398" s="8"/>
      <x:c r="H398" s="8"/>
      <x:c r="I398" s="8"/>
      <x:c r="J398" s="8"/>
      <x:c r="K398" s="8"/>
    </x:row>
    <x:row r="399">
      <x:c r="C399" s="8"/>
      <x:c r="D399" s="8"/>
      <x:c r="E399" s="8"/>
      <x:c r="F399" s="8"/>
      <x:c r="G399" s="8"/>
      <x:c r="H399" s="8"/>
      <x:c r="I399" s="8"/>
      <x:c r="J399" s="8"/>
      <x:c r="K399" s="8"/>
    </x:row>
    <x:row r="400">
      <x:c r="C400" s="8"/>
      <x:c r="D400" s="8"/>
      <x:c r="E400" s="8"/>
      <x:c r="F400" s="8"/>
      <x:c r="G400" s="8"/>
      <x:c r="H400" s="8"/>
      <x:c r="I400" s="8"/>
      <x:c r="J400" s="8"/>
      <x:c r="K400" s="8"/>
    </x:row>
    <x:row r="401">
      <x:c r="C401" s="8"/>
      <x:c r="D401" s="8"/>
      <x:c r="E401" s="8"/>
      <x:c r="F401" s="8"/>
      <x:c r="G401" s="8"/>
      <x:c r="H401" s="8"/>
      <x:c r="I401" s="8"/>
      <x:c r="J401" s="8"/>
      <x:c r="K401" s="8"/>
    </x:row>
    <x:row r="402">
      <x:c r="C402" s="8"/>
      <x:c r="D402" s="8"/>
      <x:c r="E402" s="8"/>
      <x:c r="F402" s="8"/>
      <x:c r="G402" s="8"/>
      <x:c r="H402" s="8"/>
      <x:c r="I402" s="8"/>
      <x:c r="J402" s="8"/>
      <x:c r="K402" s="8"/>
    </x:row>
    <x:row r="403">
      <x:c r="C403" s="8"/>
      <x:c r="D403" s="8"/>
      <x:c r="E403" s="8"/>
      <x:c r="F403" s="8"/>
      <x:c r="G403" s="8"/>
      <x:c r="H403" s="8"/>
      <x:c r="I403" s="8"/>
      <x:c r="J403" s="8"/>
      <x:c r="K403" s="8"/>
    </x:row>
    <x:row r="404">
      <x:c r="C404" s="8"/>
      <x:c r="D404" s="8"/>
      <x:c r="E404" s="8"/>
      <x:c r="F404" s="8"/>
      <x:c r="G404" s="8"/>
      <x:c r="H404" s="8"/>
      <x:c r="I404" s="8"/>
      <x:c r="J404" s="8"/>
      <x:c r="K404" s="8"/>
    </x:row>
    <x:row r="405">
      <x:c r="C405" s="8"/>
      <x:c r="D405" s="8"/>
      <x:c r="E405" s="8"/>
      <x:c r="F405" s="8"/>
      <x:c r="G405" s="8"/>
      <x:c r="H405" s="8"/>
      <x:c r="I405" s="8"/>
      <x:c r="J405" s="8"/>
      <x:c r="K405" s="8"/>
    </x:row>
    <x:row r="406">
      <x:c r="C406" s="8"/>
      <x:c r="D406" s="8"/>
      <x:c r="E406" s="8"/>
      <x:c r="F406" s="8"/>
      <x:c r="G406" s="8"/>
      <x:c r="H406" s="8"/>
      <x:c r="I406" s="8"/>
      <x:c r="J406" s="8"/>
      <x:c r="K406" s="8"/>
    </x:row>
    <x:row r="407">
      <x:c r="C407" s="8"/>
      <x:c r="D407" s="8"/>
      <x:c r="E407" s="8"/>
      <x:c r="F407" s="8"/>
      <x:c r="G407" s="8"/>
      <x:c r="H407" s="8"/>
      <x:c r="I407" s="8"/>
      <x:c r="J407" s="8"/>
      <x:c r="K407" s="8"/>
    </x:row>
    <x:row r="408">
      <x:c r="C408" s="8"/>
      <x:c r="D408" s="8"/>
      <x:c r="E408" s="8"/>
      <x:c r="F408" s="8"/>
      <x:c r="G408" s="8"/>
      <x:c r="H408" s="8"/>
      <x:c r="I408" s="8"/>
      <x:c r="J408" s="8"/>
      <x:c r="K408" s="8"/>
    </x:row>
    <x:row r="409">
      <x:c r="C409" s="8"/>
      <x:c r="D409" s="8"/>
      <x:c r="E409" s="8"/>
      <x:c r="F409" s="8"/>
      <x:c r="G409" s="8"/>
      <x:c r="H409" s="8"/>
      <x:c r="I409" s="8"/>
      <x:c r="J409" s="8"/>
      <x:c r="K409" s="8"/>
    </x:row>
    <x:row r="410">
      <x:c r="C410" s="8"/>
      <x:c r="D410" s="8"/>
      <x:c r="E410" s="8"/>
      <x:c r="F410" s="8"/>
      <x:c r="G410" s="8"/>
      <x:c r="H410" s="8"/>
      <x:c r="I410" s="8"/>
      <x:c r="J410" s="8"/>
      <x:c r="K410" s="8"/>
    </x:row>
    <x:row r="411">
      <x:c r="C411" s="8"/>
      <x:c r="D411" s="8"/>
      <x:c r="E411" s="8"/>
      <x:c r="F411" s="8"/>
      <x:c r="G411" s="8"/>
      <x:c r="H411" s="8"/>
      <x:c r="I411" s="8"/>
      <x:c r="J411" s="8"/>
      <x:c r="K411" s="8"/>
    </x:row>
    <x:row r="412">
      <x:c r="C412" s="8"/>
      <x:c r="D412" s="8"/>
      <x:c r="E412" s="8"/>
      <x:c r="F412" s="8"/>
      <x:c r="G412" s="8"/>
      <x:c r="H412" s="8"/>
      <x:c r="I412" s="8"/>
      <x:c r="J412" s="8"/>
      <x:c r="K412" s="8"/>
    </x:row>
    <x:row r="413">
      <x:c r="C413" s="8"/>
      <x:c r="D413" s="8"/>
      <x:c r="E413" s="8"/>
      <x:c r="F413" s="8"/>
      <x:c r="G413" s="8"/>
      <x:c r="H413" s="8"/>
      <x:c r="I413" s="8"/>
      <x:c r="J413" s="8"/>
      <x:c r="K413" s="8"/>
    </x:row>
    <x:row r="414">
      <x:c r="C414" s="8"/>
      <x:c r="D414" s="8"/>
      <x:c r="E414" s="8"/>
      <x:c r="F414" s="8"/>
      <x:c r="G414" s="8"/>
      <x:c r="H414" s="8"/>
      <x:c r="I414" s="8"/>
      <x:c r="J414" s="8"/>
      <x:c r="K414" s="8"/>
    </x:row>
    <x:row r="415">
      <x:c r="C415" s="8"/>
      <x:c r="D415" s="8"/>
      <x:c r="E415" s="8"/>
      <x:c r="F415" s="8"/>
      <x:c r="G415" s="8"/>
      <x:c r="H415" s="8"/>
      <x:c r="I415" s="8"/>
      <x:c r="J415" s="8"/>
      <x:c r="K415" s="8"/>
    </x:row>
    <x:row r="416">
      <x:c r="C416" s="8"/>
      <x:c r="D416" s="8"/>
      <x:c r="E416" s="8"/>
      <x:c r="F416" s="8"/>
      <x:c r="G416" s="8"/>
      <x:c r="H416" s="8"/>
      <x:c r="I416" s="8"/>
      <x:c r="J416" s="8"/>
      <x:c r="K416" s="8"/>
    </x:row>
    <x:row r="417">
      <x:c r="C417" s="8"/>
      <x:c r="D417" s="8"/>
      <x:c r="E417" s="8"/>
      <x:c r="F417" s="8"/>
      <x:c r="G417" s="8"/>
      <x:c r="H417" s="8"/>
      <x:c r="I417" s="8"/>
      <x:c r="J417" s="8"/>
      <x:c r="K417" s="8"/>
    </x:row>
    <x:row r="418">
      <x:c r="C418" s="8"/>
      <x:c r="D418" s="8"/>
      <x:c r="E418" s="8"/>
      <x:c r="F418" s="8"/>
      <x:c r="G418" s="8"/>
      <x:c r="H418" s="8"/>
      <x:c r="I418" s="8"/>
      <x:c r="J418" s="8"/>
      <x:c r="K418" s="8"/>
    </x:row>
    <x:row r="419">
      <x:c r="C419" s="8"/>
      <x:c r="D419" s="8"/>
      <x:c r="E419" s="8"/>
      <x:c r="F419" s="8"/>
      <x:c r="G419" s="8"/>
      <x:c r="H419" s="8"/>
      <x:c r="I419" s="8"/>
      <x:c r="J419" s="8"/>
      <x:c r="K419" s="8"/>
    </x:row>
    <x:row r="420">
      <x:c r="C420" s="8"/>
      <x:c r="D420" s="8"/>
      <x:c r="E420" s="8"/>
      <x:c r="F420" s="8"/>
      <x:c r="G420" s="8"/>
      <x:c r="H420" s="8"/>
      <x:c r="I420" s="8"/>
      <x:c r="J420" s="8"/>
      <x:c r="K420" s="8"/>
    </x:row>
    <x:row r="421">
      <x:c r="C421" s="8"/>
      <x:c r="D421" s="8"/>
      <x:c r="E421" s="8"/>
      <x:c r="F421" s="8"/>
      <x:c r="G421" s="8"/>
      <x:c r="H421" s="8"/>
      <x:c r="I421" s="8"/>
      <x:c r="J421" s="8"/>
      <x:c r="K421" s="8"/>
    </x:row>
    <x:row r="422">
      <x:c r="C422" s="8"/>
      <x:c r="D422" s="8"/>
      <x:c r="E422" s="8"/>
      <x:c r="F422" s="8"/>
      <x:c r="G422" s="8"/>
      <x:c r="H422" s="8"/>
      <x:c r="I422" s="8"/>
      <x:c r="J422" s="8"/>
      <x:c r="K422" s="8"/>
    </x:row>
    <x:row r="423">
      <x:c r="C423" s="8"/>
      <x:c r="D423" s="8"/>
      <x:c r="E423" s="8"/>
      <x:c r="F423" s="8"/>
      <x:c r="G423" s="8"/>
      <x:c r="H423" s="8"/>
      <x:c r="I423" s="8"/>
      <x:c r="J423" s="8"/>
      <x:c r="K423" s="8"/>
    </x:row>
    <x:row r="424">
      <x:c r="C424" s="8"/>
      <x:c r="D424" s="8"/>
      <x:c r="E424" s="8"/>
      <x:c r="F424" s="8"/>
      <x:c r="G424" s="8"/>
      <x:c r="H424" s="8"/>
      <x:c r="I424" s="8"/>
      <x:c r="J424" s="8"/>
      <x:c r="K424" s="8"/>
    </x:row>
    <x:row r="425">
      <x:c r="C425" s="8"/>
      <x:c r="D425" s="8"/>
      <x:c r="E425" s="8"/>
      <x:c r="F425" s="8"/>
      <x:c r="G425" s="8"/>
      <x:c r="H425" s="8"/>
      <x:c r="I425" s="8"/>
      <x:c r="J425" s="8"/>
      <x:c r="K425" s="8"/>
    </x:row>
    <x:row r="426">
      <x:c r="C426" s="8"/>
      <x:c r="D426" s="8"/>
      <x:c r="E426" s="8"/>
      <x:c r="F426" s="8"/>
      <x:c r="G426" s="8"/>
      <x:c r="H426" s="8"/>
      <x:c r="I426" s="8"/>
      <x:c r="J426" s="8"/>
      <x:c r="K426" s="8"/>
    </x:row>
    <x:row r="427">
      <x:c r="C427" s="8"/>
      <x:c r="D427" s="8"/>
      <x:c r="E427" s="8"/>
      <x:c r="F427" s="8"/>
      <x:c r="G427" s="8"/>
      <x:c r="H427" s="8"/>
      <x:c r="I427" s="8"/>
      <x:c r="J427" s="8"/>
      <x:c r="K427" s="8"/>
    </x:row>
    <x:row r="428">
      <x:c r="C428" s="8"/>
      <x:c r="D428" s="8"/>
      <x:c r="E428" s="8"/>
      <x:c r="F428" s="8"/>
      <x:c r="G428" s="8"/>
      <x:c r="H428" s="8"/>
      <x:c r="I428" s="8"/>
      <x:c r="J428" s="8"/>
      <x:c r="K428" s="8"/>
    </x:row>
    <x:row r="429">
      <x:c r="C429" s="8"/>
      <x:c r="D429" s="8"/>
      <x:c r="E429" s="8"/>
      <x:c r="F429" s="8"/>
      <x:c r="G429" s="8"/>
      <x:c r="H429" s="8"/>
      <x:c r="I429" s="8"/>
      <x:c r="J429" s="8"/>
      <x:c r="K429" s="8"/>
    </x:row>
    <x:row r="430">
      <x:c r="C430" s="8"/>
      <x:c r="D430" s="8"/>
      <x:c r="E430" s="8"/>
      <x:c r="F430" s="8"/>
      <x:c r="G430" s="8"/>
      <x:c r="H430" s="8"/>
      <x:c r="I430" s="8"/>
      <x:c r="J430" s="8"/>
      <x:c r="K430" s="8"/>
    </x:row>
    <x:row r="431">
      <x:c r="C431" s="8"/>
      <x:c r="D431" s="8"/>
      <x:c r="E431" s="8"/>
      <x:c r="F431" s="8"/>
      <x:c r="G431" s="8"/>
      <x:c r="H431" s="8"/>
      <x:c r="I431" s="8"/>
      <x:c r="J431" s="8"/>
      <x:c r="K431" s="8"/>
    </x:row>
    <x:row r="432">
      <x:c r="C432" s="8"/>
      <x:c r="D432" s="8"/>
      <x:c r="E432" s="8"/>
      <x:c r="F432" s="8"/>
      <x:c r="G432" s="8"/>
      <x:c r="H432" s="8"/>
      <x:c r="I432" s="8"/>
      <x:c r="J432" s="8"/>
      <x:c r="K432" s="8"/>
    </x:row>
    <x:row r="433">
      <x:c r="C433" s="8"/>
      <x:c r="D433" s="8"/>
      <x:c r="E433" s="8"/>
      <x:c r="F433" s="8"/>
      <x:c r="G433" s="8"/>
      <x:c r="H433" s="8"/>
      <x:c r="I433" s="8"/>
      <x:c r="J433" s="8"/>
      <x:c r="K433" s="8"/>
    </x:row>
    <x:row r="434">
      <x:c r="C434" s="8"/>
      <x:c r="D434" s="8"/>
      <x:c r="E434" s="8"/>
      <x:c r="F434" s="8"/>
      <x:c r="G434" s="8"/>
      <x:c r="H434" s="8"/>
      <x:c r="I434" s="8"/>
      <x:c r="J434" s="8"/>
      <x:c r="K434" s="8"/>
    </x:row>
    <x:row r="435">
      <x:c r="C435" s="8"/>
      <x:c r="D435" s="8"/>
      <x:c r="E435" s="8"/>
      <x:c r="F435" s="8"/>
      <x:c r="G435" s="8"/>
      <x:c r="H435" s="8"/>
      <x:c r="I435" s="8"/>
      <x:c r="J435" s="8"/>
      <x:c r="K435" s="8"/>
    </x:row>
    <x:row r="436">
      <x:c r="C436" s="8"/>
      <x:c r="D436" s="8"/>
      <x:c r="E436" s="8"/>
      <x:c r="F436" s="8"/>
      <x:c r="G436" s="8"/>
      <x:c r="H436" s="8"/>
      <x:c r="I436" s="8"/>
      <x:c r="J436" s="8"/>
      <x:c r="K436" s="8"/>
    </x:row>
    <x:row r="437">
      <x:c r="C437" s="8"/>
      <x:c r="D437" s="8"/>
      <x:c r="E437" s="8"/>
      <x:c r="F437" s="8"/>
      <x:c r="G437" s="8"/>
      <x:c r="H437" s="8"/>
      <x:c r="I437" s="8"/>
      <x:c r="J437" s="8"/>
      <x:c r="K437" s="8"/>
    </x:row>
    <x:row r="438">
      <x:c r="C438" s="8"/>
      <x:c r="D438" s="8"/>
      <x:c r="E438" s="8"/>
      <x:c r="F438" s="8"/>
      <x:c r="G438" s="8"/>
      <x:c r="H438" s="8"/>
      <x:c r="I438" s="8"/>
      <x:c r="J438" s="8"/>
      <x:c r="K438" s="8"/>
    </x:row>
    <x:row r="439">
      <x:c r="C439" s="8"/>
      <x:c r="D439" s="8"/>
      <x:c r="E439" s="8"/>
      <x:c r="F439" s="8"/>
      <x:c r="G439" s="8"/>
      <x:c r="H439" s="8"/>
      <x:c r="I439" s="8"/>
      <x:c r="J439" s="8"/>
      <x:c r="K439" s="8"/>
    </x:row>
    <x:row r="440">
      <x:c r="C440" s="8"/>
      <x:c r="D440" s="8"/>
      <x:c r="E440" s="8"/>
      <x:c r="F440" s="8"/>
      <x:c r="G440" s="8"/>
      <x:c r="H440" s="8"/>
      <x:c r="I440" s="8"/>
      <x:c r="J440" s="8"/>
      <x:c r="K440" s="8"/>
    </x:row>
    <x:row r="441">
      <x:c r="C441" s="8"/>
      <x:c r="D441" s="8"/>
      <x:c r="E441" s="8"/>
      <x:c r="F441" s="8"/>
      <x:c r="G441" s="8"/>
      <x:c r="H441" s="8"/>
      <x:c r="I441" s="8"/>
      <x:c r="J441" s="8"/>
      <x:c r="K441" s="8"/>
    </x:row>
    <x:row r="442">
      <x:c r="C442" s="8"/>
      <x:c r="D442" s="8"/>
      <x:c r="E442" s="8"/>
      <x:c r="F442" s="8"/>
      <x:c r="G442" s="8"/>
      <x:c r="H442" s="8"/>
      <x:c r="I442" s="8"/>
      <x:c r="J442" s="8"/>
      <x:c r="K442" s="8"/>
    </x:row>
    <x:row r="443">
      <x:c r="C443" s="8"/>
      <x:c r="D443" s="8"/>
      <x:c r="E443" s="8"/>
      <x:c r="F443" s="8"/>
      <x:c r="G443" s="8"/>
      <x:c r="H443" s="8"/>
      <x:c r="I443" s="8"/>
      <x:c r="J443" s="8"/>
      <x:c r="K443" s="8"/>
    </x:row>
    <x:row r="444">
      <x:c r="C444" s="8"/>
      <x:c r="D444" s="8"/>
      <x:c r="E444" s="8"/>
      <x:c r="F444" s="8"/>
      <x:c r="G444" s="8"/>
      <x:c r="H444" s="8"/>
      <x:c r="I444" s="8"/>
      <x:c r="J444" s="8"/>
      <x:c r="K444" s="8"/>
    </x:row>
    <x:row r="445">
      <x:c r="C445" s="8"/>
      <x:c r="D445" s="8"/>
      <x:c r="E445" s="8"/>
      <x:c r="F445" s="8"/>
      <x:c r="G445" s="8"/>
      <x:c r="H445" s="8"/>
      <x:c r="I445" s="8"/>
      <x:c r="J445" s="8"/>
      <x:c r="K445" s="8"/>
    </x:row>
    <x:row r="446">
      <x:c r="C446" s="8"/>
      <x:c r="D446" s="8"/>
      <x:c r="E446" s="8"/>
      <x:c r="F446" s="8"/>
      <x:c r="G446" s="8"/>
      <x:c r="H446" s="8"/>
      <x:c r="I446" s="8"/>
      <x:c r="J446" s="8"/>
      <x:c r="K446" s="8"/>
    </x:row>
    <x:row r="447">
      <x:c r="C447" s="8"/>
      <x:c r="D447" s="8"/>
      <x:c r="E447" s="8"/>
      <x:c r="F447" s="8"/>
      <x:c r="G447" s="8"/>
      <x:c r="H447" s="8"/>
      <x:c r="I447" s="8"/>
      <x:c r="J447" s="8"/>
      <x:c r="K447" s="8"/>
    </x:row>
    <x:row r="448">
      <x:c r="C448" s="8"/>
      <x:c r="D448" s="8"/>
      <x:c r="E448" s="8"/>
      <x:c r="F448" s="8"/>
      <x:c r="G448" s="8"/>
      <x:c r="H448" s="8"/>
      <x:c r="I448" s="8"/>
      <x:c r="J448" s="8"/>
      <x:c r="K448" s="8"/>
    </x:row>
    <x:row r="449">
      <x:c r="C449" s="8"/>
      <x:c r="D449" s="8"/>
      <x:c r="E449" s="8"/>
      <x:c r="F449" s="8"/>
      <x:c r="G449" s="8"/>
      <x:c r="H449" s="8"/>
      <x:c r="I449" s="8"/>
      <x:c r="J449" s="8"/>
      <x:c r="K449" s="8"/>
    </x:row>
    <x:row r="450">
      <x:c r="C450" s="8"/>
      <x:c r="D450" s="8"/>
      <x:c r="E450" s="8"/>
      <x:c r="F450" s="8"/>
      <x:c r="G450" s="8"/>
      <x:c r="H450" s="8"/>
      <x:c r="I450" s="8"/>
      <x:c r="J450" s="8"/>
      <x:c r="K450" s="8"/>
    </x:row>
    <x:row r="451">
      <x:c r="C451" s="8"/>
      <x:c r="D451" s="8"/>
      <x:c r="E451" s="8"/>
      <x:c r="F451" s="8"/>
      <x:c r="G451" s="8"/>
      <x:c r="H451" s="8"/>
      <x:c r="I451" s="8"/>
      <x:c r="J451" s="8"/>
      <x:c r="K451" s="8"/>
    </x:row>
    <x:row r="452">
      <x:c r="C452" s="8"/>
      <x:c r="D452" s="8"/>
      <x:c r="E452" s="8"/>
      <x:c r="F452" s="8"/>
      <x:c r="G452" s="8"/>
      <x:c r="H452" s="8"/>
      <x:c r="I452" s="8"/>
      <x:c r="J452" s="8"/>
      <x:c r="K452" s="8"/>
    </x:row>
    <x:row r="453">
      <x:c r="C453" s="8"/>
      <x:c r="D453" s="8"/>
      <x:c r="E453" s="8"/>
      <x:c r="F453" s="8"/>
      <x:c r="G453" s="8"/>
      <x:c r="H453" s="8"/>
      <x:c r="I453" s="8"/>
      <x:c r="J453" s="8"/>
      <x:c r="K453" s="8"/>
    </x:row>
    <x:row r="454">
      <x:c r="C454" s="8"/>
      <x:c r="D454" s="8"/>
      <x:c r="E454" s="8"/>
      <x:c r="F454" s="8"/>
      <x:c r="G454" s="8"/>
      <x:c r="H454" s="8"/>
      <x:c r="I454" s="8"/>
      <x:c r="J454" s="8"/>
      <x:c r="K454" s="8"/>
    </x:row>
    <x:row r="455">
      <x:c r="C455" s="8"/>
      <x:c r="D455" s="8"/>
      <x:c r="E455" s="8"/>
      <x:c r="F455" s="8"/>
      <x:c r="G455" s="8"/>
      <x:c r="H455" s="8"/>
      <x:c r="I455" s="8"/>
      <x:c r="J455" s="8"/>
      <x:c r="K455" s="8"/>
    </x:row>
    <x:row r="456">
      <x:c r="C456" s="8"/>
      <x:c r="D456" s="8"/>
      <x:c r="E456" s="8"/>
      <x:c r="F456" s="8"/>
      <x:c r="G456" s="8"/>
      <x:c r="H456" s="8"/>
      <x:c r="I456" s="8"/>
      <x:c r="J456" s="8"/>
      <x:c r="K456" s="8"/>
    </x:row>
    <x:row r="457">
      <x:c r="C457" s="8"/>
      <x:c r="D457" s="8"/>
      <x:c r="E457" s="8"/>
      <x:c r="F457" s="8"/>
      <x:c r="G457" s="8"/>
      <x:c r="H457" s="8"/>
      <x:c r="I457" s="8"/>
      <x:c r="J457" s="8"/>
      <x:c r="K457" s="8"/>
    </x:row>
    <x:row r="458">
      <x:c r="C458" s="8"/>
      <x:c r="D458" s="8"/>
      <x:c r="E458" s="8"/>
      <x:c r="F458" s="8"/>
      <x:c r="G458" s="8"/>
      <x:c r="H458" s="8"/>
      <x:c r="I458" s="8"/>
      <x:c r="J458" s="8"/>
      <x:c r="K458" s="8"/>
    </x:row>
    <x:row r="459">
      <x:c r="C459" s="8"/>
      <x:c r="D459" s="8"/>
      <x:c r="E459" s="8"/>
      <x:c r="F459" s="8"/>
      <x:c r="G459" s="8"/>
      <x:c r="H459" s="8"/>
      <x:c r="I459" s="8"/>
      <x:c r="J459" s="8"/>
      <x:c r="K459" s="8"/>
    </x:row>
    <x:row r="460">
      <x:c r="C460" s="8"/>
      <x:c r="D460" s="8"/>
      <x:c r="E460" s="8"/>
      <x:c r="F460" s="8"/>
      <x:c r="G460" s="8"/>
      <x:c r="H460" s="8"/>
      <x:c r="I460" s="8"/>
      <x:c r="J460" s="8"/>
      <x:c r="K460" s="8"/>
    </x:row>
    <x:row r="461">
      <x:c r="C461" s="8"/>
      <x:c r="D461" s="8"/>
      <x:c r="E461" s="8"/>
      <x:c r="F461" s="8"/>
      <x:c r="G461" s="8"/>
      <x:c r="H461" s="8"/>
      <x:c r="I461" s="8"/>
      <x:c r="J461" s="8"/>
      <x:c r="K461" s="8"/>
    </x:row>
    <x:row r="462">
      <x:c r="C462" s="8"/>
      <x:c r="D462" s="8"/>
      <x:c r="E462" s="8"/>
      <x:c r="F462" s="8"/>
      <x:c r="G462" s="8"/>
      <x:c r="H462" s="8"/>
      <x:c r="I462" s="8"/>
      <x:c r="J462" s="8"/>
      <x:c r="K462" s="8"/>
    </x:row>
    <x:row r="463">
      <x:c r="C463" s="8"/>
      <x:c r="D463" s="8"/>
      <x:c r="E463" s="8"/>
      <x:c r="F463" s="8"/>
      <x:c r="G463" s="8"/>
      <x:c r="H463" s="8"/>
      <x:c r="I463" s="8"/>
      <x:c r="J463" s="8"/>
      <x:c r="K463" s="8"/>
    </x:row>
    <x:row r="464">
      <x:c r="C464" s="8"/>
      <x:c r="D464" s="8"/>
      <x:c r="E464" s="8"/>
      <x:c r="F464" s="8"/>
      <x:c r="G464" s="8"/>
      <x:c r="H464" s="8"/>
      <x:c r="I464" s="8"/>
      <x:c r="J464" s="8"/>
      <x:c r="K464" s="8"/>
    </x:row>
    <x:row r="465">
      <x:c r="C465" s="8"/>
      <x:c r="D465" s="8"/>
      <x:c r="E465" s="8"/>
      <x:c r="F465" s="8"/>
      <x:c r="G465" s="8"/>
      <x:c r="H465" s="8"/>
      <x:c r="I465" s="8"/>
      <x:c r="J465" s="8"/>
      <x:c r="K465" s="8"/>
    </x:row>
    <x:row r="466">
      <x:c r="C466" s="8"/>
      <x:c r="D466" s="8"/>
      <x:c r="E466" s="8"/>
      <x:c r="F466" s="8"/>
      <x:c r="G466" s="8"/>
      <x:c r="H466" s="8"/>
      <x:c r="I466" s="8"/>
      <x:c r="J466" s="8"/>
      <x:c r="K466" s="8"/>
    </x:row>
    <x:row r="467">
      <x:c r="C467" s="8"/>
      <x:c r="D467" s="8"/>
      <x:c r="E467" s="8"/>
      <x:c r="F467" s="8"/>
      <x:c r="G467" s="8"/>
      <x:c r="H467" s="8"/>
      <x:c r="I467" s="8"/>
      <x:c r="J467" s="8"/>
      <x:c r="K467" s="8"/>
    </x:row>
    <x:row r="468">
      <x:c r="C468" s="8"/>
      <x:c r="D468" s="8"/>
      <x:c r="E468" s="8"/>
      <x:c r="F468" s="8"/>
      <x:c r="G468" s="8"/>
      <x:c r="H468" s="8"/>
      <x:c r="I468" s="8"/>
      <x:c r="J468" s="8"/>
      <x:c r="K468" s="8"/>
    </x:row>
    <x:row r="469">
      <x:c r="C469" s="8"/>
      <x:c r="D469" s="8"/>
      <x:c r="E469" s="8"/>
      <x:c r="F469" s="8"/>
      <x:c r="G469" s="8"/>
      <x:c r="H469" s="8"/>
      <x:c r="I469" s="8"/>
      <x:c r="J469" s="8"/>
      <x:c r="K469" s="8"/>
    </x:row>
    <x:row r="470">
      <x:c r="C470" s="8"/>
      <x:c r="D470" s="8"/>
      <x:c r="E470" s="8"/>
      <x:c r="F470" s="8"/>
      <x:c r="G470" s="8"/>
      <x:c r="H470" s="8"/>
      <x:c r="I470" s="8"/>
      <x:c r="J470" s="8"/>
      <x:c r="K470" s="8"/>
    </x:row>
    <x:row r="471">
      <x:c r="C471" s="8"/>
      <x:c r="D471" s="8"/>
      <x:c r="E471" s="8"/>
      <x:c r="F471" s="8"/>
      <x:c r="G471" s="8"/>
      <x:c r="H471" s="8"/>
      <x:c r="I471" s="8"/>
      <x:c r="J471" s="8"/>
      <x:c r="K471" s="8"/>
    </x:row>
    <x:row r="472">
      <x:c r="C472" s="8"/>
      <x:c r="D472" s="8"/>
      <x:c r="E472" s="8"/>
      <x:c r="F472" s="8"/>
      <x:c r="G472" s="8"/>
      <x:c r="H472" s="8"/>
      <x:c r="I472" s="8"/>
      <x:c r="J472" s="8"/>
      <x:c r="K472" s="8"/>
    </x:row>
    <x:row r="473">
      <x:c r="C473" s="8"/>
      <x:c r="D473" s="8"/>
      <x:c r="E473" s="8"/>
      <x:c r="F473" s="8"/>
      <x:c r="G473" s="8"/>
      <x:c r="H473" s="8"/>
      <x:c r="I473" s="8"/>
      <x:c r="J473" s="8"/>
      <x:c r="K473" s="8"/>
    </x:row>
    <x:row r="474">
      <x:c r="C474" s="8"/>
      <x:c r="D474" s="8"/>
      <x:c r="E474" s="8"/>
      <x:c r="F474" s="8"/>
      <x:c r="G474" s="8"/>
      <x:c r="H474" s="8"/>
      <x:c r="I474" s="8"/>
      <x:c r="J474" s="8"/>
      <x:c r="K474" s="8"/>
    </x:row>
    <x:row r="475">
      <x:c r="C475" s="8"/>
      <x:c r="D475" s="8"/>
      <x:c r="E475" s="8"/>
      <x:c r="F475" s="8"/>
      <x:c r="G475" s="8"/>
      <x:c r="H475" s="8"/>
      <x:c r="I475" s="8"/>
      <x:c r="J475" s="8"/>
      <x:c r="K475" s="8"/>
    </x:row>
    <x:row r="476">
      <x:c r="C476" s="8"/>
      <x:c r="D476" s="8"/>
      <x:c r="E476" s="8"/>
      <x:c r="F476" s="8"/>
      <x:c r="G476" s="8"/>
      <x:c r="H476" s="8"/>
      <x:c r="I476" s="8"/>
      <x:c r="J476" s="8"/>
      <x:c r="K476" s="8"/>
    </x:row>
    <x:row r="477">
      <x:c r="C477" s="8"/>
      <x:c r="D477" s="8"/>
      <x:c r="E477" s="8"/>
      <x:c r="F477" s="8"/>
      <x:c r="G477" s="8"/>
      <x:c r="H477" s="8"/>
      <x:c r="I477" s="8"/>
      <x:c r="J477" s="8"/>
      <x:c r="K477" s="8"/>
    </x:row>
    <x:row r="478">
      <x:c r="C478" s="8"/>
      <x:c r="D478" s="8"/>
      <x:c r="E478" s="8"/>
      <x:c r="F478" s="8"/>
      <x:c r="G478" s="8"/>
      <x:c r="H478" s="8"/>
      <x:c r="I478" s="8"/>
      <x:c r="J478" s="8"/>
      <x:c r="K478" s="8"/>
    </x:row>
    <x:row r="479">
      <x:c r="C479" s="8"/>
      <x:c r="D479" s="8"/>
      <x:c r="E479" s="8"/>
      <x:c r="F479" s="8"/>
      <x:c r="G479" s="8"/>
      <x:c r="H479" s="8"/>
      <x:c r="I479" s="8"/>
      <x:c r="J479" s="8"/>
      <x:c r="K479" s="8"/>
    </x:row>
    <x:row r="480">
      <x:c r="C480" s="8"/>
      <x:c r="D480" s="8"/>
      <x:c r="E480" s="8"/>
      <x:c r="F480" s="8"/>
      <x:c r="G480" s="8"/>
      <x:c r="H480" s="8"/>
      <x:c r="I480" s="8"/>
      <x:c r="J480" s="8"/>
      <x:c r="K480" s="8"/>
    </x:row>
    <x:row r="481">
      <x:c r="C481" s="8"/>
      <x:c r="D481" s="8"/>
      <x:c r="E481" s="8"/>
      <x:c r="F481" s="8"/>
      <x:c r="G481" s="8"/>
      <x:c r="H481" s="8"/>
      <x:c r="I481" s="8"/>
      <x:c r="J481" s="8"/>
      <x:c r="K481" s="8"/>
    </x:row>
    <x:row r="482">
      <x:c r="C482" s="8"/>
      <x:c r="D482" s="8"/>
      <x:c r="E482" s="8"/>
      <x:c r="F482" s="8"/>
      <x:c r="G482" s="8"/>
      <x:c r="H482" s="8"/>
      <x:c r="I482" s="8"/>
      <x:c r="J482" s="8"/>
      <x:c r="K482" s="8"/>
    </x:row>
    <x:row r="483">
      <x:c r="C483" s="8"/>
      <x:c r="D483" s="8"/>
      <x:c r="E483" s="8"/>
      <x:c r="F483" s="8"/>
      <x:c r="G483" s="8"/>
      <x:c r="H483" s="8"/>
      <x:c r="I483" s="8"/>
      <x:c r="J483" s="8"/>
      <x:c r="K483" s="8"/>
    </x:row>
    <x:row r="484">
      <x:c r="C484" s="8"/>
      <x:c r="D484" s="8"/>
      <x:c r="E484" s="8"/>
      <x:c r="F484" s="8"/>
      <x:c r="G484" s="8"/>
      <x:c r="H484" s="8"/>
      <x:c r="I484" s="8"/>
      <x:c r="J484" s="8"/>
      <x:c r="K484" s="8"/>
    </x:row>
    <x:row r="485">
      <x:c r="C485" s="8"/>
      <x:c r="D485" s="8"/>
      <x:c r="E485" s="8"/>
      <x:c r="F485" s="8"/>
      <x:c r="G485" s="8"/>
      <x:c r="H485" s="8"/>
      <x:c r="I485" s="8"/>
      <x:c r="J485" s="8"/>
      <x:c r="K485" s="8"/>
    </x:row>
    <x:row r="486">
      <x:c r="C486" s="8"/>
      <x:c r="D486" s="8"/>
      <x:c r="E486" s="8"/>
      <x:c r="F486" s="8"/>
      <x:c r="G486" s="8"/>
      <x:c r="H486" s="8"/>
      <x:c r="I486" s="8"/>
      <x:c r="J486" s="8"/>
      <x:c r="K486" s="8"/>
    </x:row>
    <x:row r="487">
      <x:c r="C487" s="8"/>
      <x:c r="D487" s="8"/>
      <x:c r="E487" s="8"/>
      <x:c r="F487" s="8"/>
      <x:c r="G487" s="8"/>
      <x:c r="H487" s="8"/>
      <x:c r="I487" s="8"/>
      <x:c r="J487" s="8"/>
      <x:c r="K487" s="8"/>
    </x:row>
    <x:row r="488">
      <x:c r="C488" s="8"/>
      <x:c r="D488" s="8"/>
      <x:c r="E488" s="8"/>
      <x:c r="F488" s="8"/>
      <x:c r="G488" s="8"/>
      <x:c r="H488" s="8"/>
      <x:c r="I488" s="8"/>
      <x:c r="J488" s="8"/>
      <x:c r="K488" s="8"/>
    </x:row>
    <x:row r="489">
      <x:c r="C489" s="8"/>
      <x:c r="D489" s="8"/>
      <x:c r="E489" s="8"/>
      <x:c r="F489" s="8"/>
      <x:c r="G489" s="8"/>
      <x:c r="H489" s="8"/>
      <x:c r="I489" s="8"/>
      <x:c r="J489" s="8"/>
      <x:c r="K489" s="8"/>
    </x:row>
    <x:row r="490">
      <x:c r="C490" s="8"/>
      <x:c r="D490" s="8"/>
      <x:c r="E490" s="8"/>
      <x:c r="F490" s="8"/>
      <x:c r="G490" s="8"/>
      <x:c r="H490" s="8"/>
      <x:c r="I490" s="8"/>
      <x:c r="J490" s="8"/>
      <x:c r="K490" s="8"/>
    </x:row>
    <x:row r="491">
      <x:c r="C491" s="8"/>
      <x:c r="D491" s="8"/>
      <x:c r="E491" s="8"/>
      <x:c r="F491" s="8"/>
      <x:c r="G491" s="8"/>
      <x:c r="H491" s="8"/>
      <x:c r="I491" s="8"/>
      <x:c r="J491" s="8"/>
      <x:c r="K491" s="8"/>
    </x:row>
    <x:row r="492">
      <x:c r="C492" s="8"/>
      <x:c r="D492" s="8"/>
      <x:c r="E492" s="8"/>
      <x:c r="F492" s="8"/>
      <x:c r="G492" s="8"/>
      <x:c r="H492" s="8"/>
      <x:c r="I492" s="8"/>
      <x:c r="J492" s="8"/>
      <x:c r="K492" s="8"/>
    </x:row>
    <x:row r="493">
      <x:c r="C493" s="8"/>
      <x:c r="D493" s="8"/>
      <x:c r="E493" s="8"/>
      <x:c r="F493" s="8"/>
      <x:c r="G493" s="8"/>
      <x:c r="H493" s="8"/>
      <x:c r="I493" s="8"/>
      <x:c r="J493" s="8"/>
      <x:c r="K493" s="8"/>
    </x:row>
    <x:row r="494">
      <x:c r="C494" s="8"/>
      <x:c r="D494" s="8"/>
      <x:c r="E494" s="8"/>
      <x:c r="F494" s="8"/>
      <x:c r="G494" s="8"/>
      <x:c r="H494" s="8"/>
      <x:c r="I494" s="8"/>
      <x:c r="J494" s="8"/>
      <x:c r="K494" s="8"/>
    </x:row>
    <x:row r="495">
      <x:c r="C495" s="8"/>
      <x:c r="D495" s="8"/>
      <x:c r="E495" s="8"/>
      <x:c r="F495" s="8"/>
      <x:c r="G495" s="8"/>
      <x:c r="H495" s="8"/>
      <x:c r="I495" s="8"/>
      <x:c r="J495" s="8"/>
      <x:c r="K495" s="8"/>
    </x:row>
    <x:row r="496">
      <x:c r="C496" s="8"/>
      <x:c r="D496" s="8"/>
      <x:c r="E496" s="8"/>
      <x:c r="F496" s="8"/>
      <x:c r="G496" s="8"/>
      <x:c r="H496" s="8"/>
      <x:c r="I496" s="8"/>
      <x:c r="J496" s="8"/>
      <x:c r="K496" s="8"/>
    </x:row>
    <x:row r="497">
      <x:c r="C497" s="8"/>
      <x:c r="D497" s="8"/>
      <x:c r="E497" s="8"/>
      <x:c r="F497" s="8"/>
      <x:c r="G497" s="8"/>
      <x:c r="H497" s="8"/>
      <x:c r="I497" s="8"/>
      <x:c r="J497" s="8"/>
      <x:c r="K497" s="8"/>
    </x:row>
    <x:row r="498">
      <x:c r="C498" s="8"/>
      <x:c r="D498" s="8"/>
      <x:c r="E498" s="8"/>
      <x:c r="F498" s="8"/>
      <x:c r="G498" s="8"/>
      <x:c r="H498" s="8"/>
      <x:c r="I498" s="8"/>
      <x:c r="J498" s="8"/>
      <x:c r="K498" s="8"/>
    </x:row>
    <x:row r="499">
      <x:c r="C499" s="8"/>
      <x:c r="D499" s="8"/>
      <x:c r="E499" s="8"/>
      <x:c r="F499" s="8"/>
      <x:c r="G499" s="8"/>
      <x:c r="H499" s="8"/>
      <x:c r="I499" s="8"/>
      <x:c r="J499" s="8"/>
      <x:c r="K499" s="8"/>
    </x:row>
    <x:row r="500">
      <x:c r="C500" s="8"/>
      <x:c r="D500" s="8"/>
      <x:c r="E500" s="8"/>
      <x:c r="F500" s="8"/>
      <x:c r="G500" s="8"/>
      <x:c r="H500" s="8"/>
      <x:c r="I500" s="8"/>
      <x:c r="J500" s="8"/>
      <x:c r="K500" s="8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4.25"/>
  <x:cols>
    <x:col min="1" max="1" width="11" customWidth="1"/>
    <x:col min="2" max="2" width="16" customWidth="1"/>
    <x:col min="3" max="3" width="22" customWidth="1"/>
    <x:col min="4" max="4" width="18" customWidth="1"/>
    <x:col min="5" max="5" width="12" customWidth="1"/>
    <x:col min="6" max="6" width="34" customWidth="1"/>
    <x:col min="7" max="7" width="42" customWidth="1"/>
    <x:col min="8" max="8" width="24" customWidth="1"/>
  </x:cols>
  <x:sheetData>
    <x:row r="1" ht="37.349998474121094" customHeight="1">
      <x:c r="A1" s="76" t="s">
        <x:v>109</x:v>
      </x:c>
      <x:c r="B1" s="76"/>
      <x:c r="C1" s="76"/>
      <x:c r="D1" s="76"/>
      <x:c r="E1" s="76"/>
      <x:c r="F1" s="76"/>
      <x:c r="G1" s="4"/>
      <x:c r="H1" s="4"/>
    </x:row>
    <x:row r="2">
      <x:c r="A2" s="72" t="s">
        <x:v>110</x:v>
      </x:c>
      <x:c r="B2" s="72"/>
      <x:c r="C2" s="72"/>
      <x:c r="D2" s="72"/>
      <x:c r="E2" s="72"/>
      <x:c r="F2" s="72"/>
    </x:row>
    <x:row r="4" ht="30">
      <x:c r="A4" s="20" t="s">
        <x:v>98</x:v>
      </x:c>
      <x:c r="B4" s="20" t="s">
        <x:v>111</x:v>
      </x:c>
      <x:c r="C4" s="20" t="s">
        <x:v>112</x:v>
      </x:c>
      <x:c r="D4" s="20" t="s">
        <x:v>113</x:v>
      </x:c>
      <x:c r="E4" s="20" t="s">
        <x:v>79</x:v>
      </x:c>
      <x:c r="F4" s="20" t="s">
        <x:v>114</x:v>
      </x:c>
      <x:c r="G4" s="20" t="s">
        <x:v>115</x:v>
      </x:c>
      <x:c r="H4" s="20" t="s">
        <x:v>116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43.5">
      <x:c r="A5" s="132"/>
      <x:c r="B5" s="139"/>
      <x:c r="C5" s="132"/>
      <x:c r="D5" s="140"/>
      <x:c r="E5" s="133"/>
      <x:c r="F5" s="132"/>
      <x:c r="G5" s="132"/>
      <x:c r="H5" s="152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3.5">
      <x:c r="A6" s="135"/>
      <x:c r="B6" s="141"/>
      <x:c r="C6" s="152"/>
      <x:c r="D6" s="142"/>
      <x:c r="E6" s="136"/>
      <x:c r="F6" s="135"/>
      <x:c r="G6" s="135"/>
      <x:c r="H6" s="152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90">
      <x:c r="A7" s="132"/>
      <x:c r="B7" s="139"/>
      <x:c r="C7" s="152"/>
      <x:c r="D7" s="140"/>
      <x:c r="E7" s="133"/>
      <x:c r="F7" s="132"/>
      <x:c r="G7" s="132"/>
      <x:c r="H7" s="153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90">
      <x:c r="A8" s="135"/>
      <x:c r="B8" s="141"/>
      <x:c r="C8" s="135"/>
      <x:c r="D8" s="142"/>
      <x:c r="E8" s="136"/>
      <x:c r="F8" s="135"/>
      <x:c r="G8" s="135"/>
      <x:c r="H8" s="153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90">
      <x:c r="A9" s="132"/>
      <x:c r="B9" s="139"/>
      <x:c r="C9" s="132"/>
      <x:c r="D9" s="140"/>
      <x:c r="E9" s="133"/>
      <x:c r="F9" s="132"/>
      <x:c r="G9" s="132"/>
      <x:c r="H9" s="153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90">
      <x:c r="A10" s="135"/>
      <x:c r="B10" s="141"/>
      <x:c r="C10" s="135"/>
      <x:c r="D10" s="142"/>
      <x:c r="E10" s="136"/>
      <x:c r="F10" s="135"/>
      <x:c r="G10" s="135"/>
      <x:c r="H10" s="153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10"/>
      <x:c r="C11" s="4"/>
      <x:c r="D11" s="11"/>
      <x:c r="E11" s="26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10"/>
      <x:c r="C12" s="4"/>
      <x:c r="D12" s="11"/>
      <x:c r="E12" s="26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10"/>
      <x:c r="C13" s="4"/>
      <x:c r="D13" s="11"/>
      <x:c r="E13" s="26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10"/>
      <x:c r="C14" s="4"/>
      <x:c r="D14" s="11"/>
      <x:c r="E14" s="26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10"/>
      <x:c r="C15" s="4"/>
      <x:c r="D15" s="11"/>
      <x:c r="E15" s="26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10"/>
      <x:c r="C16" s="4"/>
      <x:c r="D16" s="11"/>
      <x:c r="E16" s="26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10"/>
      <x:c r="C17" s="4"/>
      <x:c r="D17" s="11"/>
      <x:c r="E17" s="26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10"/>
      <x:c r="C18" s="4"/>
      <x:c r="D18" s="11"/>
      <x:c r="E18" s="26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10"/>
      <x:c r="C19" s="4"/>
      <x:c r="D19" s="11"/>
      <x:c r="E19" s="26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10"/>
      <x:c r="C20" s="4"/>
      <x:c r="D20" s="11"/>
      <x:c r="E20" s="26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10"/>
      <x:c r="C21" s="4"/>
      <x:c r="D21" s="11"/>
      <x:c r="E21" s="26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10"/>
      <x:c r="C22" s="4"/>
      <x:c r="D22" s="11"/>
      <x:c r="E22" s="26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10"/>
      <x:c r="C23" s="4"/>
      <x:c r="D23" s="11"/>
      <x:c r="E23" s="26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10"/>
      <x:c r="C24" s="4"/>
      <x:c r="D24" s="11"/>
      <x:c r="E24" s="26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10"/>
      <x:c r="C25" s="4"/>
      <x:c r="D25" s="11"/>
      <x:c r="E25" s="26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10"/>
      <x:c r="C26" s="4"/>
      <x:c r="D26" s="11"/>
      <x:c r="E26" s="26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10"/>
      <x:c r="C27" s="4"/>
      <x:c r="D27" s="11"/>
      <x:c r="E27" s="26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10"/>
      <x:c r="C28" s="4"/>
      <x:c r="D28" s="11"/>
      <x:c r="E28" s="26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10"/>
      <x:c r="C29" s="4"/>
      <x:c r="D29" s="11"/>
      <x:c r="E29" s="26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10"/>
      <x:c r="C30" s="4"/>
      <x:c r="D30" s="11"/>
      <x:c r="E30" s="26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10"/>
      <x:c r="C31" s="4"/>
      <x:c r="D31" s="11"/>
      <x:c r="E31" s="26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10"/>
      <x:c r="C32" s="4"/>
      <x:c r="D32" s="11"/>
      <x:c r="E32" s="26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10"/>
      <x:c r="C33" s="4"/>
      <x:c r="D33" s="11"/>
      <x:c r="E33" s="26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10"/>
      <x:c r="C34" s="4"/>
      <x:c r="D34" s="11"/>
      <x:c r="E34" s="26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10"/>
      <x:c r="C35" s="4"/>
      <x:c r="D35" s="11"/>
      <x:c r="E35" s="26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10"/>
      <x:c r="C36" s="4"/>
      <x:c r="D36" s="11"/>
      <x:c r="E36" s="26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10"/>
      <x:c r="C37" s="4"/>
      <x:c r="D37" s="11"/>
      <x:c r="E37" s="26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10"/>
      <x:c r="C38" s="4"/>
      <x:c r="D38" s="11"/>
      <x:c r="E38" s="26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10"/>
      <x:c r="C39" s="4"/>
      <x:c r="D39" s="11"/>
      <x:c r="E39" s="26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10"/>
      <x:c r="C40" s="4"/>
      <x:c r="D40" s="11"/>
      <x:c r="E40" s="26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10"/>
      <x:c r="C41" s="4"/>
      <x:c r="D41" s="11"/>
      <x:c r="E41" s="26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10"/>
      <x:c r="C42" s="4"/>
      <x:c r="D42" s="11"/>
      <x:c r="E42" s="26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10"/>
      <x:c r="C43" s="4"/>
      <x:c r="D43" s="11"/>
      <x:c r="E43" s="26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10"/>
      <x:c r="C44" s="4"/>
      <x:c r="D44" s="11"/>
      <x:c r="E44" s="26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10"/>
      <x:c r="C45" s="4"/>
      <x:c r="D45" s="11"/>
      <x:c r="E45" s="26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10"/>
      <x:c r="C46" s="4"/>
      <x:c r="D46" s="11"/>
      <x:c r="E46" s="26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10"/>
      <x:c r="C47" s="4"/>
      <x:c r="D47" s="11"/>
      <x:c r="E47" s="26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10"/>
      <x:c r="C48" s="4"/>
      <x:c r="D48" s="11"/>
      <x:c r="E48" s="26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10"/>
      <x:c r="C49" s="4"/>
      <x:c r="D49" s="11"/>
      <x:c r="E49" s="26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10"/>
      <x:c r="C50" s="4"/>
      <x:c r="D50" s="11"/>
      <x:c r="E50" s="26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10"/>
      <x:c r="C51" s="4"/>
      <x:c r="D51" s="11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10"/>
      <x:c r="C52" s="4"/>
      <x:c r="D52" s="11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10"/>
      <x:c r="C53" s="4"/>
      <x:c r="D53" s="11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10"/>
      <x:c r="C54" s="4"/>
      <x:c r="D54" s="11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10"/>
      <x:c r="C55" s="4"/>
      <x:c r="D55" s="11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10"/>
      <x:c r="C56" s="4"/>
      <x:c r="D56" s="11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10"/>
      <x:c r="C57" s="4"/>
      <x:c r="D57" s="11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10"/>
      <x:c r="C58" s="4"/>
      <x:c r="D58" s="11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10"/>
      <x:c r="C59" s="4"/>
      <x:c r="D59" s="11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10"/>
      <x:c r="C60" s="4"/>
      <x:c r="D60" s="11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10"/>
      <x:c r="C61" s="4"/>
      <x:c r="D61" s="11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10"/>
      <x:c r="C62" s="4"/>
      <x:c r="D62" s="11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10"/>
      <x:c r="C63" s="4"/>
      <x:c r="D63" s="11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10"/>
      <x:c r="C64" s="4"/>
      <x:c r="D64" s="11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10"/>
      <x:c r="C65" s="4"/>
      <x:c r="D65" s="11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10"/>
      <x:c r="C66" s="4"/>
      <x:c r="D66" s="11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10"/>
      <x:c r="C67" s="4"/>
      <x:c r="D67" s="11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10"/>
      <x:c r="C68" s="4"/>
      <x:c r="D68" s="11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10"/>
      <x:c r="C69" s="4"/>
      <x:c r="D69" s="11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10"/>
      <x:c r="C70" s="4"/>
      <x:c r="D70" s="11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10"/>
      <x:c r="C71" s="4"/>
      <x:c r="D71" s="11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10"/>
      <x:c r="C72" s="4"/>
      <x:c r="D72" s="11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10"/>
      <x:c r="C73" s="4"/>
      <x:c r="D73" s="11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10"/>
      <x:c r="C74" s="4"/>
      <x:c r="D74" s="11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10"/>
      <x:c r="C75" s="4"/>
      <x:c r="D75" s="11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10"/>
      <x:c r="C76" s="4"/>
      <x:c r="D76" s="11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10"/>
      <x:c r="C77" s="4"/>
      <x:c r="D77" s="11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10"/>
      <x:c r="C78" s="4"/>
      <x:c r="D78" s="11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10"/>
      <x:c r="C79" s="4"/>
      <x:c r="D79" s="11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10"/>
      <x:c r="C80" s="4"/>
      <x:c r="D80" s="11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10"/>
      <x:c r="C81" s="4"/>
      <x:c r="D81" s="11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10"/>
      <x:c r="C82" s="4"/>
      <x:c r="D82" s="11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10"/>
      <x:c r="C83" s="4"/>
      <x:c r="D83" s="11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10"/>
      <x:c r="C84" s="4"/>
      <x:c r="D84" s="11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10"/>
      <x:c r="C85" s="4"/>
      <x:c r="D85" s="11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10"/>
      <x:c r="C86" s="4"/>
      <x:c r="D86" s="11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10"/>
      <x:c r="C87" s="4"/>
      <x:c r="D87" s="11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10"/>
      <x:c r="C88" s="4"/>
      <x:c r="D88" s="11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10"/>
      <x:c r="C89" s="4"/>
      <x:c r="D89" s="11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10"/>
      <x:c r="C90" s="4"/>
      <x:c r="D90" s="11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10"/>
      <x:c r="C91" s="4"/>
      <x:c r="D91" s="11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10"/>
      <x:c r="C92" s="4"/>
      <x:c r="D92" s="11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10"/>
      <x:c r="C93" s="4"/>
      <x:c r="D93" s="11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10"/>
      <x:c r="C94" s="4"/>
      <x:c r="D94" s="11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10"/>
      <x:c r="C95" s="4"/>
      <x:c r="D95" s="11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10"/>
      <x:c r="C96" s="4"/>
      <x:c r="D96" s="11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10"/>
      <x:c r="C97" s="4"/>
      <x:c r="D97" s="11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10"/>
      <x:c r="C98" s="4"/>
      <x:c r="D98" s="11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10"/>
      <x:c r="C99" s="4"/>
      <x:c r="D99" s="11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10"/>
      <x:c r="C100" s="4"/>
      <x:c r="D100" s="11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75" defaultRowHeight="14.25"/>
  <x:cols>
    <x:col min="1" max="1" width="14" customWidth="1"/>
    <x:col min="2" max="2" width="16" customWidth="1"/>
    <x:col min="3" max="3" width="18" customWidth="1"/>
    <x:col min="4" max="4" width="16" customWidth="1"/>
    <x:col min="5" max="5" width="20" customWidth="1"/>
    <x:col min="6" max="7" width="28" customWidth="1"/>
    <x:col min="8" max="9" width="12" customWidth="1"/>
    <x:col min="10" max="10" width="36" customWidth="1"/>
  </x:cols>
  <x:sheetData>
    <x:row r="1" ht="37.349998474121094" customHeight="1">
      <x:c r="A1" s="71" t="s">
        <x:v>117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>
      <x:c r="A2" s="72" t="s">
        <x:v>118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4" ht="15">
      <x:c r="A4" s="5" t="s">
        <x:v>119</x:v>
      </x:c>
      <x:c r="B4" s="5" t="s">
        <x:v>120</x:v>
      </x:c>
      <x:c r="C4" s="5" t="s">
        <x:v>121</x:v>
      </x:c>
      <x:c r="D4" s="5" t="s">
        <x:v>122</x:v>
      </x:c>
      <x:c r="E4" s="5" t="s">
        <x:v>123</x:v>
      </x:c>
      <x:c r="F4" s="5" t="s">
        <x:v>124</x:v>
      </x:c>
      <x:c r="G4" s="5" t="s">
        <x:v>125</x:v>
      </x:c>
      <x:c r="H4" s="5" t="s">
        <x:v>126</x:v>
      </x:c>
      <x:c r="I4" s="5" t="s">
        <x:v>127</x:v>
      </x:c>
      <x:c r="J4" s="5" t="s">
        <x:v>115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8.5">
      <x:c r="A5" s="134"/>
      <x:c r="B5" s="143"/>
      <x:c r="C5" s="133"/>
      <x:c r="D5" s="132"/>
      <x:c r="E5" s="132"/>
      <x:c r="F5" s="132"/>
      <x:c r="G5" s="132"/>
      <x:c r="H5" s="132"/>
      <x:c r="I5" s="132"/>
      <x:c r="J5" s="132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144"/>
      <x:c r="B6" s="145"/>
      <x:c r="C6" s="136"/>
      <x:c r="D6" s="135"/>
      <x:c r="E6" s="135"/>
      <x:c r="F6" s="135"/>
      <x:c r="G6" s="135"/>
      <x:c r="H6" s="135"/>
      <x:c r="I6" s="135"/>
      <x:c r="J6" s="135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12"/>
      <x:c r="C7" s="26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12"/>
      <x:c r="C8" s="26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12"/>
      <x:c r="C9" s="2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12"/>
      <x:c r="C10" s="26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12"/>
      <x:c r="C11" s="26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12"/>
      <x:c r="C12" s="26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12"/>
      <x:c r="C13" s="26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12"/>
      <x:c r="C14" s="26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12"/>
      <x:c r="C15" s="26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12"/>
      <x:c r="C16" s="26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12"/>
      <x:c r="C17" s="26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12"/>
      <x:c r="C18" s="26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12"/>
      <x:c r="C19" s="26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12"/>
      <x:c r="C20" s="26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12"/>
      <x:c r="C21" s="26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12"/>
      <x:c r="C22" s="26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12"/>
      <x:c r="C23" s="26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12"/>
      <x:c r="C24" s="26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12"/>
      <x:c r="C25" s="26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12"/>
      <x:c r="C26" s="26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12"/>
      <x:c r="C27" s="26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12"/>
      <x:c r="C28" s="26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12"/>
      <x:c r="C29" s="26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12"/>
      <x:c r="C30" s="26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12"/>
      <x:c r="C31" s="26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12"/>
      <x:c r="C32" s="26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12"/>
      <x:c r="C33" s="26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12"/>
      <x:c r="C34" s="26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12"/>
      <x:c r="C35" s="26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12"/>
      <x:c r="C36" s="26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12"/>
      <x:c r="C37" s="26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12"/>
      <x:c r="C38" s="26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12"/>
      <x:c r="C39" s="26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12"/>
      <x:c r="C40" s="26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12"/>
      <x:c r="C41" s="26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12"/>
      <x:c r="C42" s="26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12"/>
      <x:c r="C43" s="26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12"/>
      <x:c r="C44" s="26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12"/>
      <x:c r="C45" s="26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12"/>
      <x:c r="C46" s="26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12"/>
      <x:c r="C47" s="26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12"/>
      <x:c r="C48" s="26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12"/>
      <x:c r="C49" s="26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12"/>
      <x:c r="C50" s="26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12"/>
      <x:c r="C51" s="26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12"/>
      <x:c r="C52" s="26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12"/>
      <x:c r="C53" s="26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12"/>
      <x:c r="C54" s="26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12"/>
      <x:c r="C55" s="26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12"/>
      <x:c r="C56" s="26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12"/>
      <x:c r="C57" s="26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12"/>
      <x:c r="C58" s="26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12"/>
      <x:c r="C59" s="26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12"/>
      <x:c r="C60" s="26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12"/>
      <x:c r="C61" s="26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12"/>
      <x:c r="C62" s="26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12"/>
      <x:c r="C63" s="26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12"/>
      <x:c r="C64" s="26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12"/>
      <x:c r="C65" s="26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12"/>
      <x:c r="C66" s="26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12"/>
      <x:c r="C67" s="26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12"/>
      <x:c r="C68" s="26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12"/>
      <x:c r="C69" s="26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12"/>
      <x:c r="C70" s="26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12"/>
      <x:c r="C71" s="26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12"/>
      <x:c r="C72" s="26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12"/>
      <x:c r="C73" s="26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12"/>
      <x:c r="C74" s="26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12"/>
      <x:c r="C75" s="26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12"/>
      <x:c r="C76" s="26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12"/>
      <x:c r="C77" s="26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12"/>
      <x:c r="C78" s="26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12"/>
      <x:c r="C79" s="26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12"/>
      <x:c r="C80" s="26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12"/>
      <x:c r="C81" s="26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12"/>
      <x:c r="C82" s="26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12"/>
      <x:c r="C83" s="26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12"/>
      <x:c r="C84" s="26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12"/>
      <x:c r="C85" s="26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12"/>
      <x:c r="C86" s="26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12"/>
      <x:c r="C87" s="26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12"/>
      <x:c r="C88" s="26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12"/>
      <x:c r="C89" s="26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12"/>
      <x:c r="C90" s="26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12"/>
      <x:c r="C91" s="26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12"/>
      <x:c r="C92" s="26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12"/>
      <x:c r="C93" s="26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12"/>
      <x:c r="C94" s="26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12"/>
      <x:c r="C95" s="26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12"/>
      <x:c r="C96" s="26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12"/>
      <x:c r="C97" s="26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12"/>
      <x:c r="C98" s="26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12"/>
      <x:c r="C99" s="26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12"/>
      <x:c r="C100" s="26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12"/>
      <x:c r="C101" s="26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12"/>
      <x:c r="C102" s="26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12"/>
      <x:c r="C103" s="26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12"/>
      <x:c r="C104" s="26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12"/>
      <x:c r="C105" s="26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12"/>
      <x:c r="C106" s="26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12"/>
      <x:c r="C107" s="26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12"/>
      <x:c r="C108" s="26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12"/>
      <x:c r="C109" s="26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12"/>
      <x:c r="C110" s="26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12"/>
      <x:c r="C111" s="26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12"/>
      <x:c r="C112" s="26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12"/>
      <x:c r="C113" s="26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12"/>
      <x:c r="C114" s="26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12"/>
      <x:c r="C115" s="26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12"/>
      <x:c r="C116" s="26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12"/>
      <x:c r="C117" s="26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12"/>
      <x:c r="C118" s="26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12"/>
      <x:c r="C119" s="26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12"/>
      <x:c r="C120" s="26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B121" s="13"/>
      <x:c r="C121" s="27"/>
    </x:row>
    <x:row r="122">
      <x:c r="B122" s="13"/>
      <x:c r="C122" s="27"/>
    </x:row>
    <x:row r="123">
      <x:c r="B123" s="13"/>
      <x:c r="C123" s="27"/>
    </x:row>
    <x:row r="124">
      <x:c r="B124" s="13"/>
      <x:c r="C124" s="27"/>
    </x:row>
    <x:row r="125">
      <x:c r="B125" s="13"/>
      <x:c r="C125" s="27"/>
    </x:row>
    <x:row r="126">
      <x:c r="B126" s="13"/>
      <x:c r="C126" s="27"/>
    </x:row>
    <x:row r="127">
      <x:c r="B127" s="13"/>
      <x:c r="C127" s="27"/>
    </x:row>
    <x:row r="128">
      <x:c r="B128" s="13"/>
      <x:c r="C128" s="27"/>
    </x:row>
    <x:row r="129">
      <x:c r="B129" s="13"/>
      <x:c r="C129" s="27"/>
    </x:row>
    <x:row r="130">
      <x:c r="B130" s="13"/>
      <x:c r="C130" s="27"/>
    </x:row>
    <x:row r="131">
      <x:c r="B131" s="13"/>
      <x:c r="C131" s="27"/>
    </x:row>
    <x:row r="132">
      <x:c r="B132" s="13"/>
      <x:c r="C132" s="27"/>
    </x:row>
    <x:row r="133">
      <x:c r="B133" s="13"/>
      <x:c r="C133" s="27"/>
    </x:row>
    <x:row r="134">
      <x:c r="B134" s="13"/>
      <x:c r="C134" s="27"/>
    </x:row>
    <x:row r="135">
      <x:c r="B135" s="13"/>
      <x:c r="C135" s="27"/>
    </x:row>
    <x:row r="136">
      <x:c r="B136" s="13"/>
      <x:c r="C136" s="27"/>
    </x:row>
    <x:row r="137">
      <x:c r="B137" s="13"/>
      <x:c r="C137" s="27"/>
    </x:row>
    <x:row r="138">
      <x:c r="B138" s="13"/>
      <x:c r="C138" s="27"/>
    </x:row>
    <x:row r="139">
      <x:c r="B139" s="13"/>
      <x:c r="C139" s="27"/>
    </x:row>
    <x:row r="140">
      <x:c r="B140" s="13"/>
      <x:c r="C140" s="27"/>
    </x:row>
    <x:row r="141">
      <x:c r="B141" s="13"/>
      <x:c r="C141" s="27"/>
    </x:row>
    <x:row r="142">
      <x:c r="B142" s="13"/>
      <x:c r="C142" s="27"/>
    </x:row>
    <x:row r="143">
      <x:c r="B143" s="13"/>
      <x:c r="C143" s="27"/>
    </x:row>
    <x:row r="144">
      <x:c r="B144" s="13"/>
      <x:c r="C144" s="27"/>
    </x:row>
    <x:row r="145">
      <x:c r="B145" s="13"/>
      <x:c r="C145" s="27"/>
    </x:row>
    <x:row r="146">
      <x:c r="B146" s="13"/>
      <x:c r="C146" s="27"/>
    </x:row>
    <x:row r="147">
      <x:c r="B147" s="13"/>
      <x:c r="C147" s="27"/>
    </x:row>
    <x:row r="148">
      <x:c r="B148" s="13"/>
      <x:c r="C148" s="27"/>
    </x:row>
    <x:row r="149">
      <x:c r="B149" s="13"/>
      <x:c r="C149" s="27"/>
    </x:row>
    <x:row r="150">
      <x:c r="B150" s="13"/>
      <x:c r="C150" s="27"/>
    </x:row>
    <x:row r="151">
      <x:c r="B151" s="13"/>
      <x:c r="C151" s="27"/>
    </x:row>
    <x:row r="152">
      <x:c r="B152" s="13"/>
      <x:c r="C152" s="27"/>
    </x:row>
    <x:row r="153">
      <x:c r="B153" s="13"/>
      <x:c r="C153" s="27"/>
    </x:row>
    <x:row r="154">
      <x:c r="B154" s="13"/>
      <x:c r="C154" s="27"/>
    </x:row>
    <x:row r="155">
      <x:c r="B155" s="13"/>
      <x:c r="C155" s="27"/>
    </x:row>
    <x:row r="156">
      <x:c r="B156" s="13"/>
      <x:c r="C156" s="27"/>
    </x:row>
    <x:row r="157">
      <x:c r="B157" s="13"/>
      <x:c r="C157" s="27"/>
    </x:row>
    <x:row r="158">
      <x:c r="B158" s="13"/>
      <x:c r="C158" s="27"/>
    </x:row>
    <x:row r="159">
      <x:c r="B159" s="13"/>
      <x:c r="C159" s="27"/>
    </x:row>
    <x:row r="160">
      <x:c r="B160" s="13"/>
      <x:c r="C160" s="27"/>
    </x:row>
    <x:row r="161">
      <x:c r="B161" s="13"/>
      <x:c r="C161" s="27"/>
    </x:row>
    <x:row r="162">
      <x:c r="B162" s="13"/>
      <x:c r="C162" s="27"/>
    </x:row>
    <x:row r="163">
      <x:c r="B163" s="13"/>
      <x:c r="C163" s="27"/>
    </x:row>
    <x:row r="164">
      <x:c r="B164" s="13"/>
      <x:c r="C164" s="27"/>
    </x:row>
    <x:row r="165">
      <x:c r="B165" s="13"/>
      <x:c r="C165" s="27"/>
    </x:row>
    <x:row r="166">
      <x:c r="B166" s="13"/>
      <x:c r="C166" s="27"/>
    </x:row>
    <x:row r="167">
      <x:c r="B167" s="13"/>
      <x:c r="C167" s="27"/>
    </x:row>
    <x:row r="168">
      <x:c r="B168" s="13"/>
      <x:c r="C168" s="27"/>
    </x:row>
    <x:row r="169">
      <x:c r="B169" s="13"/>
      <x:c r="C169" s="27"/>
    </x:row>
    <x:row r="170">
      <x:c r="B170" s="13"/>
      <x:c r="C170" s="27"/>
    </x:row>
    <x:row r="171">
      <x:c r="B171" s="13"/>
      <x:c r="C171" s="27"/>
    </x:row>
    <x:row r="172">
      <x:c r="B172" s="13"/>
      <x:c r="C172" s="27"/>
    </x:row>
    <x:row r="173">
      <x:c r="B173" s="13"/>
      <x:c r="C173" s="27"/>
    </x:row>
    <x:row r="174">
      <x:c r="B174" s="13"/>
      <x:c r="C174" s="27"/>
    </x:row>
    <x:row r="175">
      <x:c r="B175" s="13"/>
      <x:c r="C175" s="27"/>
    </x:row>
    <x:row r="176">
      <x:c r="B176" s="13"/>
      <x:c r="C176" s="27"/>
    </x:row>
    <x:row r="177">
      <x:c r="B177" s="13"/>
      <x:c r="C177" s="27"/>
    </x:row>
    <x:row r="178">
      <x:c r="B178" s="13"/>
      <x:c r="C178" s="27"/>
    </x:row>
    <x:row r="179">
      <x:c r="B179" s="13"/>
      <x:c r="C179" s="27"/>
    </x:row>
    <x:row r="180">
      <x:c r="B180" s="13"/>
      <x:c r="C180" s="27"/>
    </x:row>
    <x:row r="181">
      <x:c r="B181" s="13"/>
      <x:c r="C181" s="27"/>
    </x:row>
    <x:row r="182">
      <x:c r="B182" s="13"/>
      <x:c r="C182" s="27"/>
    </x:row>
    <x:row r="183">
      <x:c r="B183" s="13"/>
      <x:c r="C183" s="27"/>
    </x:row>
    <x:row r="184">
      <x:c r="B184" s="13"/>
      <x:c r="C184" s="27"/>
    </x:row>
    <x:row r="185">
      <x:c r="B185" s="13"/>
      <x:c r="C185" s="27"/>
    </x:row>
    <x:row r="186">
      <x:c r="B186" s="13"/>
      <x:c r="C186" s="27"/>
    </x:row>
    <x:row r="187">
      <x:c r="B187" s="13"/>
      <x:c r="C187" s="27"/>
    </x:row>
    <x:row r="188">
      <x:c r="B188" s="13"/>
      <x:c r="C188" s="27"/>
    </x:row>
    <x:row r="189">
      <x:c r="B189" s="13"/>
      <x:c r="C189" s="27"/>
    </x:row>
    <x:row r="190">
      <x:c r="B190" s="13"/>
      <x:c r="C190" s="27"/>
    </x:row>
    <x:row r="191">
      <x:c r="B191" s="13"/>
      <x:c r="C191" s="27"/>
    </x:row>
    <x:row r="192">
      <x:c r="B192" s="13"/>
      <x:c r="C192" s="27"/>
    </x:row>
    <x:row r="193">
      <x:c r="B193" s="13"/>
      <x:c r="C193" s="27"/>
    </x:row>
    <x:row r="194">
      <x:c r="B194" s="13"/>
      <x:c r="C194" s="27"/>
    </x:row>
    <x:row r="195">
      <x:c r="B195" s="13"/>
      <x:c r="C195" s="27"/>
    </x:row>
    <x:row r="196">
      <x:c r="B196" s="13"/>
      <x:c r="C196" s="27"/>
    </x:row>
    <x:row r="197">
      <x:c r="B197" s="13"/>
      <x:c r="C197" s="27"/>
    </x:row>
    <x:row r="198">
      <x:c r="B198" s="13"/>
      <x:c r="C198" s="27"/>
    </x:row>
    <x:row r="199">
      <x:c r="B199" s="13"/>
      <x:c r="C199" s="27"/>
    </x:row>
    <x:row r="200">
      <x:c r="B200" s="13"/>
      <x:c r="C200" s="27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75" defaultRowHeight="14.25"/>
  <x:cols>
    <x:col min="1" max="1" width="18.875" customWidth="1"/>
    <x:col min="2" max="2" width="10.875" customWidth="1"/>
    <x:col min="3" max="4" width="18.875" customWidth="1"/>
    <x:col min="5" max="5" width="24.875" customWidth="1"/>
    <x:col min="6" max="8" width="14.875" customWidth="1"/>
    <x:col min="9" max="9" width="40.875" customWidth="1"/>
  </x:cols>
  <x:sheetData>
    <x:row r="1" ht="37.349998474121094" customHeight="1">
      <x:c r="A1" s="76" t="s">
        <x:v>128</x:v>
      </x:c>
      <x:c r="B1" s="76"/>
      <x:c r="C1" s="76"/>
      <x:c r="D1" s="76"/>
      <x:c r="E1" s="76"/>
      <x:c r="F1" s="76"/>
      <x:c r="G1" s="76"/>
      <x:c r="H1" s="76"/>
      <x:c r="I1" s="76"/>
    </x:row>
    <x:row r="2">
      <x:c r="A2" s="77" t="s">
        <x:v>129</x:v>
      </x:c>
      <x:c r="B2" s="77"/>
      <x:c r="C2" s="77"/>
      <x:c r="D2" s="77"/>
      <x:c r="E2" s="77"/>
      <x:c r="F2" s="77"/>
      <x:c r="G2" s="77"/>
      <x:c r="H2" s="77"/>
      <x:c r="I2" s="77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15">
      <x:c r="A4" s="5" t="s">
        <x:v>130</x:v>
      </x:c>
      <x:c r="B4" s="5" t="s">
        <x:v>98</x:v>
      </x:c>
      <x:c r="C4" s="5" t="s">
        <x:v>131</x:v>
      </x:c>
      <x:c r="D4" s="5" t="s">
        <x:v>132</x:v>
      </x:c>
      <x:c r="E4" s="5" t="s">
        <x:v>7</x:v>
      </x:c>
      <x:c r="F4" s="5" t="s">
        <x:v>133</x:v>
      </x:c>
      <x:c r="G4" s="5" t="s">
        <x:v>134</x:v>
      </x:c>
      <x:c r="H4" s="5" t="s">
        <x:v>135</x:v>
      </x:c>
      <x:c r="I4" s="5" t="s">
        <x:v>136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14"/>
      <x:c r="G5" s="14"/>
      <x:c r="H5" s="1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4"/>
      <x:c r="B6" s="4"/>
      <x:c r="C6" s="4"/>
      <x:c r="D6" s="4"/>
      <x:c r="E6" s="4"/>
      <x:c r="F6" s="14"/>
      <x:c r="G6" s="14"/>
      <x:c r="H6" s="1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4"/>
      <x:c r="B7" s="4"/>
      <x:c r="C7" s="4"/>
      <x:c r="D7" s="4"/>
      <x:c r="E7" s="4"/>
      <x:c r="F7" s="14"/>
      <x:c r="G7" s="14"/>
      <x:c r="H7" s="1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4"/>
      <x:c r="D8" s="4"/>
      <x:c r="E8" s="4"/>
      <x:c r="F8" s="14"/>
      <x:c r="G8" s="14"/>
      <x:c r="H8" s="1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14"/>
      <x:c r="G9" s="14"/>
      <x:c r="H9" s="1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14"/>
      <x:c r="G10" s="14"/>
      <x:c r="H10" s="1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14"/>
      <x:c r="G11" s="14"/>
      <x:c r="H11" s="1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14"/>
      <x:c r="G12" s="14"/>
      <x:c r="H12" s="1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14"/>
      <x:c r="G13" s="14"/>
      <x:c r="H13" s="1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14"/>
      <x:c r="G14" s="14"/>
      <x:c r="H14" s="1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14"/>
      <x:c r="G15" s="14"/>
      <x:c r="H15" s="1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14"/>
      <x:c r="G16" s="14"/>
      <x:c r="H16" s="1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14"/>
      <x:c r="G17" s="14"/>
      <x:c r="H17" s="1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14"/>
      <x:c r="G18" s="14"/>
      <x:c r="H18" s="1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14"/>
      <x:c r="G19" s="14"/>
      <x:c r="H19" s="1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14"/>
      <x:c r="G20" s="14"/>
      <x:c r="H20" s="1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14"/>
      <x:c r="G21" s="14"/>
      <x:c r="H21" s="1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14"/>
      <x:c r="G22" s="14"/>
      <x:c r="H22" s="1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14"/>
      <x:c r="G23" s="14"/>
      <x:c r="H23" s="1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14"/>
      <x:c r="G24" s="14"/>
      <x:c r="H24" s="1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14"/>
      <x:c r="G25" s="14"/>
      <x:c r="H25" s="1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14"/>
      <x:c r="G26" s="14"/>
      <x:c r="H26" s="1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14"/>
      <x:c r="G27" s="14"/>
      <x:c r="H27" s="1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14"/>
      <x:c r="G28" s="14"/>
      <x:c r="H28" s="1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14"/>
      <x:c r="G29" s="14"/>
      <x:c r="H29" s="1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14"/>
      <x:c r="G30" s="14"/>
      <x:c r="H30" s="1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14"/>
      <x:c r="G31" s="14"/>
      <x:c r="H31" s="1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14"/>
      <x:c r="G32" s="14"/>
      <x:c r="H32" s="1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14"/>
      <x:c r="G33" s="14"/>
      <x:c r="H33" s="1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14"/>
      <x:c r="G34" s="14"/>
      <x:c r="H34" s="1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14"/>
      <x:c r="G35" s="14"/>
      <x:c r="H35" s="1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14"/>
      <x:c r="G36" s="14"/>
      <x:c r="H36" s="1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14"/>
      <x:c r="G37" s="14"/>
      <x:c r="H37" s="1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14"/>
      <x:c r="G38" s="14"/>
      <x:c r="H38" s="1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14"/>
      <x:c r="G39" s="14"/>
      <x:c r="H39" s="1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14"/>
      <x:c r="G40" s="14"/>
      <x:c r="H40" s="1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14"/>
      <x:c r="G41" s="14"/>
      <x:c r="H41" s="1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14"/>
      <x:c r="G42" s="14"/>
      <x:c r="H42" s="1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14"/>
      <x:c r="G43" s="14"/>
      <x:c r="H43" s="1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14"/>
      <x:c r="G44" s="14"/>
      <x:c r="H44" s="1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14"/>
      <x:c r="G45" s="14"/>
      <x:c r="H45" s="1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14"/>
      <x:c r="G46" s="14"/>
      <x:c r="H46" s="1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14"/>
      <x:c r="G47" s="14"/>
      <x:c r="H47" s="1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14"/>
      <x:c r="G48" s="14"/>
      <x:c r="H48" s="1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14"/>
      <x:c r="G49" s="14"/>
      <x:c r="H49" s="1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14"/>
      <x:c r="G50" s="14"/>
      <x:c r="H50" s="1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14"/>
      <x:c r="G51" s="14"/>
      <x:c r="H51" s="1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14"/>
      <x:c r="G52" s="14"/>
      <x:c r="H52" s="1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14"/>
      <x:c r="G53" s="14"/>
      <x:c r="H53" s="1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14"/>
      <x:c r="G54" s="14"/>
      <x:c r="H54" s="1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14"/>
      <x:c r="G55" s="14"/>
      <x:c r="H55" s="1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14"/>
      <x:c r="G56" s="14"/>
      <x:c r="H56" s="1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14"/>
      <x:c r="G57" s="14"/>
      <x:c r="H57" s="1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14"/>
      <x:c r="G58" s="14"/>
      <x:c r="H58" s="1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14"/>
      <x:c r="G59" s="14"/>
      <x:c r="H59" s="1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14"/>
      <x:c r="G60" s="14"/>
      <x:c r="H60" s="1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14"/>
      <x:c r="G61" s="14"/>
      <x:c r="H61" s="1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14"/>
      <x:c r="G62" s="14"/>
      <x:c r="H62" s="1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14"/>
      <x:c r="G63" s="14"/>
      <x:c r="H63" s="1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14"/>
      <x:c r="G64" s="14"/>
      <x:c r="H64" s="1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14"/>
      <x:c r="G65" s="14"/>
      <x:c r="H65" s="1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14"/>
      <x:c r="G66" s="14"/>
      <x:c r="H66" s="1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14"/>
      <x:c r="G67" s="14"/>
      <x:c r="H67" s="1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14"/>
      <x:c r="G68" s="14"/>
      <x:c r="H68" s="1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14"/>
      <x:c r="G69" s="14"/>
      <x:c r="H69" s="1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14"/>
      <x:c r="G70" s="14"/>
      <x:c r="H70" s="1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14"/>
      <x:c r="G71" s="14"/>
      <x:c r="H71" s="1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14"/>
      <x:c r="G72" s="14"/>
      <x:c r="H72" s="1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14"/>
      <x:c r="G73" s="14"/>
      <x:c r="H73" s="1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14"/>
      <x:c r="G74" s="14"/>
      <x:c r="H74" s="1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14"/>
      <x:c r="G75" s="14"/>
      <x:c r="H75" s="1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14"/>
      <x:c r="G76" s="14"/>
      <x:c r="H76" s="1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14"/>
      <x:c r="G77" s="14"/>
      <x:c r="H77" s="1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14"/>
      <x:c r="G78" s="14"/>
      <x:c r="H78" s="1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14"/>
      <x:c r="G79" s="14"/>
      <x:c r="H79" s="1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14"/>
      <x:c r="G80" s="14"/>
      <x:c r="H80" s="1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14"/>
      <x:c r="G81" s="14"/>
      <x:c r="H81" s="1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14"/>
      <x:c r="G82" s="14"/>
      <x:c r="H82" s="1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14"/>
      <x:c r="G83" s="14"/>
      <x:c r="H83" s="1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14"/>
      <x:c r="G84" s="14"/>
      <x:c r="H84" s="1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14"/>
      <x:c r="G85" s="14"/>
      <x:c r="H85" s="1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14"/>
      <x:c r="G86" s="14"/>
      <x:c r="H86" s="1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14"/>
      <x:c r="G87" s="14"/>
      <x:c r="H87" s="1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14"/>
      <x:c r="G88" s="14"/>
      <x:c r="H88" s="1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14"/>
      <x:c r="G89" s="14"/>
      <x:c r="H89" s="1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14"/>
      <x:c r="G90" s="14"/>
      <x:c r="H90" s="1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14"/>
      <x:c r="G91" s="14"/>
      <x:c r="H91" s="1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14"/>
      <x:c r="G92" s="14"/>
      <x:c r="H92" s="1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14"/>
      <x:c r="G93" s="14"/>
      <x:c r="H93" s="1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14"/>
      <x:c r="G94" s="14"/>
      <x:c r="H94" s="1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14"/>
      <x:c r="G95" s="14"/>
      <x:c r="H95" s="1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14"/>
      <x:c r="G96" s="14"/>
      <x:c r="H96" s="1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14"/>
      <x:c r="G97" s="14"/>
      <x:c r="H97" s="1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14"/>
      <x:c r="G98" s="14"/>
      <x:c r="H98" s="1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14"/>
      <x:c r="G99" s="14"/>
      <x:c r="H99" s="1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14"/>
      <x:c r="G100" s="14"/>
      <x:c r="H100" s="1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14"/>
      <x:c r="G101" s="14"/>
      <x:c r="H101" s="1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14"/>
      <x:c r="G102" s="14"/>
      <x:c r="H102" s="1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14"/>
      <x:c r="G103" s="14"/>
      <x:c r="H103" s="1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14"/>
      <x:c r="G104" s="14"/>
      <x:c r="H104" s="1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14"/>
      <x:c r="G105" s="14"/>
      <x:c r="H105" s="1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14"/>
      <x:c r="G106" s="14"/>
      <x:c r="H106" s="1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14"/>
      <x:c r="G107" s="14"/>
      <x:c r="H107" s="1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14"/>
      <x:c r="G108" s="14"/>
      <x:c r="H108" s="1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14"/>
      <x:c r="G109" s="14"/>
      <x:c r="H109" s="1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14"/>
      <x:c r="G110" s="14"/>
      <x:c r="H110" s="1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14"/>
      <x:c r="G111" s="14"/>
      <x:c r="H111" s="1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14"/>
      <x:c r="G112" s="14"/>
      <x:c r="H112" s="1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14"/>
      <x:c r="G113" s="14"/>
      <x:c r="H113" s="1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14"/>
      <x:c r="G114" s="14"/>
      <x:c r="H114" s="1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14"/>
      <x:c r="G115" s="14"/>
      <x:c r="H115" s="1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14"/>
      <x:c r="G116" s="14"/>
      <x:c r="H116" s="1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14"/>
      <x:c r="G117" s="14"/>
      <x:c r="H117" s="1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14"/>
      <x:c r="G118" s="14"/>
      <x:c r="H118" s="1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14"/>
      <x:c r="G119" s="14"/>
      <x:c r="H119" s="1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14"/>
      <x:c r="G120" s="14"/>
      <x:c r="H120" s="1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14"/>
      <x:c r="G121" s="14"/>
      <x:c r="H121" s="14"/>
      <x:c r="I121" s="4"/>
    </x:row>
    <x:row r="122">
      <x:c r="A122" s="4"/>
      <x:c r="B122" s="4"/>
      <x:c r="C122" s="4"/>
      <x:c r="D122" s="4"/>
      <x:c r="E122" s="4"/>
      <x:c r="F122" s="14"/>
      <x:c r="G122" s="14"/>
      <x:c r="H122" s="14"/>
      <x:c r="I122" s="4"/>
    </x:row>
    <x:row r="123">
      <x:c r="A123" s="4"/>
      <x:c r="B123" s="4"/>
      <x:c r="C123" s="4"/>
      <x:c r="D123" s="4"/>
      <x:c r="E123" s="4"/>
      <x:c r="F123" s="14"/>
      <x:c r="G123" s="14"/>
      <x:c r="H123" s="14"/>
      <x:c r="I123" s="4"/>
    </x:row>
    <x:row r="124">
      <x:c r="A124" s="4"/>
      <x:c r="B124" s="4"/>
      <x:c r="C124" s="4"/>
      <x:c r="D124" s="4"/>
      <x:c r="E124" s="4"/>
      <x:c r="F124" s="14"/>
      <x:c r="G124" s="14"/>
      <x:c r="H124" s="14"/>
      <x:c r="I124" s="4"/>
    </x:row>
    <x:row r="125">
      <x:c r="A125" s="4"/>
      <x:c r="B125" s="4"/>
      <x:c r="C125" s="4"/>
      <x:c r="D125" s="4"/>
      <x:c r="E125" s="4"/>
      <x:c r="F125" s="14"/>
      <x:c r="G125" s="14"/>
      <x:c r="H125" s="14"/>
      <x:c r="I125" s="4"/>
    </x:row>
    <x:row r="126">
      <x:c r="A126" s="4"/>
      <x:c r="B126" s="4"/>
      <x:c r="C126" s="4"/>
      <x:c r="D126" s="4"/>
      <x:c r="E126" s="4"/>
      <x:c r="F126" s="14"/>
      <x:c r="G126" s="14"/>
      <x:c r="H126" s="14"/>
      <x:c r="I126" s="4"/>
    </x:row>
    <x:row r="127">
      <x:c r="A127" s="4"/>
      <x:c r="B127" s="4"/>
      <x:c r="C127" s="4"/>
      <x:c r="D127" s="4"/>
      <x:c r="E127" s="4"/>
      <x:c r="F127" s="14"/>
      <x:c r="G127" s="14"/>
      <x:c r="H127" s="14"/>
      <x:c r="I127" s="4"/>
    </x:row>
    <x:row r="128">
      <x:c r="A128" s="4"/>
      <x:c r="B128" s="4"/>
      <x:c r="C128" s="4"/>
      <x:c r="D128" s="4"/>
      <x:c r="E128" s="4"/>
      <x:c r="F128" s="14"/>
      <x:c r="G128" s="14"/>
      <x:c r="H128" s="14"/>
      <x:c r="I128" s="4"/>
    </x:row>
    <x:row r="129">
      <x:c r="A129" s="4"/>
      <x:c r="B129" s="4"/>
      <x:c r="C129" s="4"/>
      <x:c r="D129" s="4"/>
      <x:c r="E129" s="4"/>
      <x:c r="F129" s="14"/>
      <x:c r="G129" s="14"/>
      <x:c r="H129" s="14"/>
      <x:c r="I129" s="4"/>
    </x:row>
    <x:row r="130">
      <x:c r="A130" s="4"/>
      <x:c r="B130" s="4"/>
      <x:c r="C130" s="4"/>
      <x:c r="D130" s="4"/>
      <x:c r="E130" s="4"/>
      <x:c r="F130" s="14"/>
      <x:c r="G130" s="14"/>
      <x:c r="H130" s="14"/>
      <x:c r="I130" s="4"/>
    </x:row>
    <x:row r="131">
      <x:c r="A131" s="4"/>
      <x:c r="B131" s="4"/>
      <x:c r="C131" s="4"/>
      <x:c r="D131" s="4"/>
      <x:c r="E131" s="4"/>
      <x:c r="F131" s="14"/>
      <x:c r="G131" s="14"/>
      <x:c r="H131" s="14"/>
      <x:c r="I131" s="4"/>
    </x:row>
    <x:row r="132">
      <x:c r="A132" s="4"/>
      <x:c r="B132" s="4"/>
      <x:c r="C132" s="4"/>
      <x:c r="D132" s="4"/>
      <x:c r="E132" s="4"/>
      <x:c r="F132" s="14"/>
      <x:c r="G132" s="14"/>
      <x:c r="H132" s="14"/>
      <x:c r="I132" s="4"/>
    </x:row>
    <x:row r="133">
      <x:c r="A133" s="4"/>
      <x:c r="B133" s="4"/>
      <x:c r="C133" s="4"/>
      <x:c r="D133" s="4"/>
      <x:c r="E133" s="4"/>
      <x:c r="F133" s="14"/>
      <x:c r="G133" s="14"/>
      <x:c r="H133" s="14"/>
      <x:c r="I133" s="4"/>
    </x:row>
    <x:row r="134">
      <x:c r="A134" s="4"/>
      <x:c r="B134" s="4"/>
      <x:c r="C134" s="4"/>
      <x:c r="D134" s="4"/>
      <x:c r="E134" s="4"/>
      <x:c r="F134" s="14"/>
      <x:c r="G134" s="14"/>
      <x:c r="H134" s="14"/>
      <x:c r="I134" s="4"/>
    </x:row>
    <x:row r="135">
      <x:c r="A135" s="4"/>
      <x:c r="B135" s="4"/>
      <x:c r="C135" s="4"/>
      <x:c r="D135" s="4"/>
      <x:c r="E135" s="4"/>
      <x:c r="F135" s="14"/>
      <x:c r="G135" s="14"/>
      <x:c r="H135" s="14"/>
      <x:c r="I135" s="4"/>
    </x:row>
    <x:row r="136">
      <x:c r="A136" s="4"/>
      <x:c r="B136" s="4"/>
      <x:c r="C136" s="4"/>
      <x:c r="D136" s="4"/>
      <x:c r="E136" s="4"/>
      <x:c r="F136" s="14"/>
      <x:c r="G136" s="14"/>
      <x:c r="H136" s="14"/>
      <x:c r="I136" s="4"/>
    </x:row>
    <x:row r="137">
      <x:c r="A137" s="4"/>
      <x:c r="B137" s="4"/>
      <x:c r="C137" s="4"/>
      <x:c r="D137" s="4"/>
      <x:c r="E137" s="4"/>
      <x:c r="F137" s="14"/>
      <x:c r="G137" s="14"/>
      <x:c r="H137" s="14"/>
      <x:c r="I137" s="4"/>
    </x:row>
    <x:row r="138">
      <x:c r="A138" s="4"/>
      <x:c r="B138" s="4"/>
      <x:c r="C138" s="4"/>
      <x:c r="D138" s="4"/>
      <x:c r="E138" s="4"/>
      <x:c r="F138" s="14"/>
      <x:c r="G138" s="14"/>
      <x:c r="H138" s="14"/>
      <x:c r="I138" s="4"/>
    </x:row>
    <x:row r="139">
      <x:c r="A139" s="4"/>
      <x:c r="B139" s="4"/>
      <x:c r="C139" s="4"/>
      <x:c r="D139" s="4"/>
      <x:c r="E139" s="4"/>
      <x:c r="F139" s="14"/>
      <x:c r="G139" s="14"/>
      <x:c r="H139" s="14"/>
      <x:c r="I139" s="4"/>
    </x:row>
    <x:row r="140">
      <x:c r="A140" s="4"/>
      <x:c r="B140" s="4"/>
      <x:c r="C140" s="4"/>
      <x:c r="D140" s="4"/>
      <x:c r="E140" s="4"/>
      <x:c r="F140" s="14"/>
      <x:c r="G140" s="14"/>
      <x:c r="H140" s="14"/>
      <x:c r="I140" s="4"/>
    </x:row>
    <x:row r="141">
      <x:c r="A141" s="4"/>
      <x:c r="B141" s="4"/>
      <x:c r="C141" s="4"/>
      <x:c r="D141" s="4"/>
      <x:c r="E141" s="4"/>
      <x:c r="F141" s="14"/>
      <x:c r="G141" s="14"/>
      <x:c r="H141" s="14"/>
      <x:c r="I141" s="4"/>
    </x:row>
    <x:row r="142">
      <x:c r="A142" s="4"/>
      <x:c r="B142" s="4"/>
      <x:c r="C142" s="4"/>
      <x:c r="D142" s="4"/>
      <x:c r="E142" s="4"/>
      <x:c r="F142" s="14"/>
      <x:c r="G142" s="14"/>
      <x:c r="H142" s="14"/>
      <x:c r="I142" s="4"/>
    </x:row>
    <x:row r="143">
      <x:c r="A143" s="4"/>
      <x:c r="B143" s="4"/>
      <x:c r="C143" s="4"/>
      <x:c r="D143" s="4"/>
      <x:c r="E143" s="4"/>
      <x:c r="F143" s="14"/>
      <x:c r="G143" s="14"/>
      <x:c r="H143" s="14"/>
      <x:c r="I143" s="4"/>
    </x:row>
    <x:row r="144">
      <x:c r="A144" s="4"/>
      <x:c r="B144" s="4"/>
      <x:c r="C144" s="4"/>
      <x:c r="D144" s="4"/>
      <x:c r="E144" s="4"/>
      <x:c r="F144" s="14"/>
      <x:c r="G144" s="14"/>
      <x:c r="H144" s="14"/>
      <x:c r="I144" s="4"/>
    </x:row>
    <x:row r="145">
      <x:c r="A145" s="4"/>
      <x:c r="B145" s="4"/>
      <x:c r="C145" s="4"/>
      <x:c r="D145" s="4"/>
      <x:c r="E145" s="4"/>
      <x:c r="F145" s="14"/>
      <x:c r="G145" s="14"/>
      <x:c r="H145" s="14"/>
      <x:c r="I145" s="4"/>
    </x:row>
    <x:row r="146">
      <x:c r="A146" s="4"/>
      <x:c r="B146" s="4"/>
      <x:c r="C146" s="4"/>
      <x:c r="D146" s="4"/>
      <x:c r="E146" s="4"/>
      <x:c r="F146" s="14"/>
      <x:c r="G146" s="14"/>
      <x:c r="H146" s="14"/>
      <x:c r="I146" s="4"/>
    </x:row>
    <x:row r="147">
      <x:c r="A147" s="4"/>
      <x:c r="B147" s="4"/>
      <x:c r="C147" s="4"/>
      <x:c r="D147" s="4"/>
      <x:c r="E147" s="4"/>
      <x:c r="F147" s="14"/>
      <x:c r="G147" s="14"/>
      <x:c r="H147" s="14"/>
      <x:c r="I147" s="4"/>
    </x:row>
    <x:row r="148">
      <x:c r="A148" s="4"/>
      <x:c r="B148" s="4"/>
      <x:c r="C148" s="4"/>
      <x:c r="D148" s="4"/>
      <x:c r="E148" s="4"/>
      <x:c r="F148" s="14"/>
      <x:c r="G148" s="14"/>
      <x:c r="H148" s="14"/>
      <x:c r="I148" s="4"/>
    </x:row>
    <x:row r="149">
      <x:c r="A149" s="4"/>
      <x:c r="B149" s="4"/>
      <x:c r="C149" s="4"/>
      <x:c r="D149" s="4"/>
      <x:c r="E149" s="4"/>
      <x:c r="F149" s="14"/>
      <x:c r="G149" s="14"/>
      <x:c r="H149" s="14"/>
      <x:c r="I149" s="4"/>
    </x:row>
    <x:row r="150">
      <x:c r="A150" s="4"/>
      <x:c r="B150" s="4"/>
      <x:c r="C150" s="4"/>
      <x:c r="D150" s="4"/>
      <x:c r="E150" s="4"/>
      <x:c r="F150" s="14"/>
      <x:c r="G150" s="14"/>
      <x:c r="H150" s="14"/>
      <x:c r="I150" s="4"/>
    </x:row>
    <x:row r="151">
      <x:c r="A151" s="4"/>
      <x:c r="B151" s="4"/>
      <x:c r="C151" s="4"/>
      <x:c r="D151" s="4"/>
      <x:c r="E151" s="4"/>
      <x:c r="F151" s="14"/>
      <x:c r="G151" s="14"/>
      <x:c r="H151" s="14"/>
      <x:c r="I151" s="4"/>
    </x:row>
    <x:row r="152">
      <x:c r="A152" s="4"/>
      <x:c r="B152" s="4"/>
      <x:c r="C152" s="4"/>
      <x:c r="D152" s="4"/>
      <x:c r="E152" s="4"/>
      <x:c r="F152" s="14"/>
      <x:c r="G152" s="14"/>
      <x:c r="H152" s="14"/>
      <x:c r="I152" s="4"/>
    </x:row>
    <x:row r="153">
      <x:c r="A153" s="4"/>
      <x:c r="B153" s="4"/>
      <x:c r="C153" s="4"/>
      <x:c r="D153" s="4"/>
      <x:c r="E153" s="4"/>
      <x:c r="F153" s="14"/>
      <x:c r="G153" s="14"/>
      <x:c r="H153" s="14"/>
      <x:c r="I153" s="4"/>
    </x:row>
    <x:row r="154">
      <x:c r="A154" s="4"/>
      <x:c r="B154" s="4"/>
      <x:c r="C154" s="4"/>
      <x:c r="D154" s="4"/>
      <x:c r="E154" s="4"/>
      <x:c r="F154" s="14"/>
      <x:c r="G154" s="14"/>
      <x:c r="H154" s="14"/>
      <x:c r="I154" s="4"/>
    </x:row>
    <x:row r="155">
      <x:c r="A155" s="4"/>
      <x:c r="B155" s="4"/>
      <x:c r="C155" s="4"/>
      <x:c r="D155" s="4"/>
      <x:c r="E155" s="4"/>
      <x:c r="F155" s="14"/>
      <x:c r="G155" s="14"/>
      <x:c r="H155" s="14"/>
      <x:c r="I155" s="4"/>
    </x:row>
    <x:row r="156">
      <x:c r="A156" s="4"/>
      <x:c r="B156" s="4"/>
      <x:c r="C156" s="4"/>
      <x:c r="D156" s="4"/>
      <x:c r="E156" s="4"/>
      <x:c r="F156" s="14"/>
      <x:c r="G156" s="14"/>
      <x:c r="H156" s="14"/>
      <x:c r="I156" s="4"/>
    </x:row>
    <x:row r="157">
      <x:c r="A157" s="4"/>
      <x:c r="B157" s="4"/>
      <x:c r="C157" s="4"/>
      <x:c r="D157" s="4"/>
      <x:c r="E157" s="4"/>
      <x:c r="F157" s="14"/>
      <x:c r="G157" s="14"/>
      <x:c r="H157" s="14"/>
      <x:c r="I157" s="4"/>
    </x:row>
    <x:row r="158">
      <x:c r="A158" s="4"/>
      <x:c r="B158" s="4"/>
      <x:c r="C158" s="4"/>
      <x:c r="D158" s="4"/>
      <x:c r="E158" s="4"/>
      <x:c r="F158" s="14"/>
      <x:c r="G158" s="14"/>
      <x:c r="H158" s="14"/>
      <x:c r="I158" s="4"/>
    </x:row>
    <x:row r="159">
      <x:c r="A159" s="4"/>
      <x:c r="B159" s="4"/>
      <x:c r="C159" s="4"/>
      <x:c r="D159" s="4"/>
      <x:c r="E159" s="4"/>
      <x:c r="F159" s="14"/>
      <x:c r="G159" s="14"/>
      <x:c r="H159" s="14"/>
      <x:c r="I159" s="4"/>
    </x:row>
    <x:row r="160">
      <x:c r="A160" s="4"/>
      <x:c r="B160" s="4"/>
      <x:c r="C160" s="4"/>
      <x:c r="D160" s="4"/>
      <x:c r="E160" s="4"/>
      <x:c r="F160" s="14"/>
      <x:c r="G160" s="14"/>
      <x:c r="H160" s="14"/>
      <x:c r="I160" s="4"/>
    </x:row>
    <x:row r="161">
      <x:c r="A161" s="4"/>
      <x:c r="B161" s="4"/>
      <x:c r="C161" s="4"/>
      <x:c r="D161" s="4"/>
      <x:c r="E161" s="4"/>
      <x:c r="F161" s="14"/>
      <x:c r="G161" s="14"/>
      <x:c r="H161" s="14"/>
      <x:c r="I161" s="4"/>
    </x:row>
    <x:row r="162">
      <x:c r="A162" s="4"/>
      <x:c r="B162" s="4"/>
      <x:c r="C162" s="4"/>
      <x:c r="D162" s="4"/>
      <x:c r="E162" s="4"/>
      <x:c r="F162" s="14"/>
      <x:c r="G162" s="14"/>
      <x:c r="H162" s="14"/>
      <x:c r="I162" s="4"/>
    </x:row>
    <x:row r="163">
      <x:c r="A163" s="4"/>
      <x:c r="B163" s="4"/>
      <x:c r="C163" s="4"/>
      <x:c r="D163" s="4"/>
      <x:c r="E163" s="4"/>
      <x:c r="F163" s="14"/>
      <x:c r="G163" s="14"/>
      <x:c r="H163" s="14"/>
      <x:c r="I163" s="4"/>
    </x:row>
    <x:row r="164">
      <x:c r="A164" s="4"/>
      <x:c r="B164" s="4"/>
      <x:c r="C164" s="4"/>
      <x:c r="D164" s="4"/>
      <x:c r="E164" s="4"/>
      <x:c r="F164" s="14"/>
      <x:c r="G164" s="14"/>
      <x:c r="H164" s="14"/>
      <x:c r="I164" s="4"/>
    </x:row>
    <x:row r="165">
      <x:c r="A165" s="4"/>
      <x:c r="B165" s="4"/>
      <x:c r="C165" s="4"/>
      <x:c r="D165" s="4"/>
      <x:c r="E165" s="4"/>
      <x:c r="F165" s="14"/>
      <x:c r="G165" s="14"/>
      <x:c r="H165" s="14"/>
      <x:c r="I165" s="4"/>
    </x:row>
    <x:row r="166">
      <x:c r="A166" s="4"/>
      <x:c r="B166" s="4"/>
      <x:c r="C166" s="4"/>
      <x:c r="D166" s="4"/>
      <x:c r="E166" s="4"/>
      <x:c r="F166" s="14"/>
      <x:c r="G166" s="14"/>
      <x:c r="H166" s="14"/>
      <x:c r="I166" s="4"/>
    </x:row>
    <x:row r="167">
      <x:c r="A167" s="4"/>
      <x:c r="B167" s="4"/>
      <x:c r="C167" s="4"/>
      <x:c r="D167" s="4"/>
      <x:c r="E167" s="4"/>
      <x:c r="F167" s="14"/>
      <x:c r="G167" s="14"/>
      <x:c r="H167" s="14"/>
      <x:c r="I167" s="4"/>
    </x:row>
    <x:row r="168">
      <x:c r="A168" s="4"/>
      <x:c r="B168" s="4"/>
      <x:c r="C168" s="4"/>
      <x:c r="D168" s="4"/>
      <x:c r="E168" s="4"/>
      <x:c r="F168" s="14"/>
      <x:c r="G168" s="14"/>
      <x:c r="H168" s="14"/>
      <x:c r="I168" s="4"/>
    </x:row>
    <x:row r="169">
      <x:c r="A169" s="4"/>
      <x:c r="B169" s="4"/>
      <x:c r="C169" s="4"/>
      <x:c r="D169" s="4"/>
      <x:c r="E169" s="4"/>
      <x:c r="F169" s="14"/>
      <x:c r="G169" s="14"/>
      <x:c r="H169" s="14"/>
      <x:c r="I169" s="4"/>
    </x:row>
    <x:row r="170">
      <x:c r="A170" s="4"/>
      <x:c r="B170" s="4"/>
      <x:c r="C170" s="4"/>
      <x:c r="D170" s="4"/>
      <x:c r="E170" s="4"/>
      <x:c r="F170" s="14"/>
      <x:c r="G170" s="14"/>
      <x:c r="H170" s="14"/>
      <x:c r="I170" s="4"/>
    </x:row>
    <x:row r="171">
      <x:c r="A171" s="4"/>
      <x:c r="B171" s="4"/>
      <x:c r="C171" s="4"/>
      <x:c r="D171" s="4"/>
      <x:c r="E171" s="4"/>
      <x:c r="F171" s="14"/>
      <x:c r="G171" s="14"/>
      <x:c r="H171" s="14"/>
      <x:c r="I171" s="4"/>
    </x:row>
    <x:row r="172">
      <x:c r="A172" s="4"/>
      <x:c r="B172" s="4"/>
      <x:c r="C172" s="4"/>
      <x:c r="D172" s="4"/>
      <x:c r="E172" s="4"/>
      <x:c r="F172" s="14"/>
      <x:c r="G172" s="14"/>
      <x:c r="H172" s="14"/>
      <x:c r="I172" s="4"/>
    </x:row>
    <x:row r="173">
      <x:c r="A173" s="4"/>
      <x:c r="B173" s="4"/>
      <x:c r="C173" s="4"/>
      <x:c r="D173" s="4"/>
      <x:c r="E173" s="4"/>
      <x:c r="F173" s="14"/>
      <x:c r="G173" s="14"/>
      <x:c r="H173" s="14"/>
      <x:c r="I173" s="4"/>
    </x:row>
    <x:row r="174">
      <x:c r="A174" s="4"/>
      <x:c r="B174" s="4"/>
      <x:c r="C174" s="4"/>
      <x:c r="D174" s="4"/>
      <x:c r="E174" s="4"/>
      <x:c r="F174" s="14"/>
      <x:c r="G174" s="14"/>
      <x:c r="H174" s="14"/>
      <x:c r="I174" s="4"/>
    </x:row>
    <x:row r="175">
      <x:c r="A175" s="4"/>
      <x:c r="B175" s="4"/>
      <x:c r="C175" s="4"/>
      <x:c r="D175" s="4"/>
      <x:c r="E175" s="4"/>
      <x:c r="F175" s="14"/>
      <x:c r="G175" s="14"/>
      <x:c r="H175" s="14"/>
      <x:c r="I175" s="4"/>
    </x:row>
    <x:row r="176">
      <x:c r="A176" s="4"/>
      <x:c r="B176" s="4"/>
      <x:c r="C176" s="4"/>
      <x:c r="D176" s="4"/>
      <x:c r="E176" s="4"/>
      <x:c r="F176" s="14"/>
      <x:c r="G176" s="14"/>
      <x:c r="H176" s="14"/>
      <x:c r="I176" s="4"/>
    </x:row>
    <x:row r="177">
      <x:c r="A177" s="4"/>
      <x:c r="B177" s="4"/>
      <x:c r="C177" s="4"/>
      <x:c r="D177" s="4"/>
      <x:c r="E177" s="4"/>
      <x:c r="F177" s="14"/>
      <x:c r="G177" s="14"/>
      <x:c r="H177" s="14"/>
      <x:c r="I177" s="4"/>
    </x:row>
    <x:row r="178">
      <x:c r="A178" s="4"/>
      <x:c r="B178" s="4"/>
      <x:c r="C178" s="4"/>
      <x:c r="D178" s="4"/>
      <x:c r="E178" s="4"/>
      <x:c r="F178" s="14"/>
      <x:c r="G178" s="14"/>
      <x:c r="H178" s="14"/>
      <x:c r="I178" s="4"/>
    </x:row>
    <x:row r="179">
      <x:c r="A179" s="4"/>
      <x:c r="B179" s="4"/>
      <x:c r="C179" s="4"/>
      <x:c r="D179" s="4"/>
      <x:c r="E179" s="4"/>
      <x:c r="F179" s="14"/>
      <x:c r="G179" s="14"/>
      <x:c r="H179" s="14"/>
      <x:c r="I179" s="4"/>
    </x:row>
    <x:row r="180">
      <x:c r="A180" s="4"/>
      <x:c r="B180" s="4"/>
      <x:c r="C180" s="4"/>
      <x:c r="D180" s="4"/>
      <x:c r="E180" s="4"/>
      <x:c r="F180" s="14"/>
      <x:c r="G180" s="14"/>
      <x:c r="H180" s="14"/>
      <x:c r="I180" s="4"/>
    </x:row>
    <x:row r="181">
      <x:c r="A181" s="4"/>
      <x:c r="B181" s="4"/>
      <x:c r="C181" s="4"/>
      <x:c r="D181" s="4"/>
      <x:c r="E181" s="4"/>
      <x:c r="F181" s="14"/>
      <x:c r="G181" s="14"/>
      <x:c r="H181" s="14"/>
      <x:c r="I181" s="4"/>
    </x:row>
    <x:row r="182">
      <x:c r="A182" s="4"/>
      <x:c r="B182" s="4"/>
      <x:c r="C182" s="4"/>
      <x:c r="D182" s="4"/>
      <x:c r="E182" s="4"/>
      <x:c r="F182" s="14"/>
      <x:c r="G182" s="14"/>
      <x:c r="H182" s="14"/>
      <x:c r="I182" s="4"/>
    </x:row>
    <x:row r="183">
      <x:c r="A183" s="4"/>
      <x:c r="B183" s="4"/>
      <x:c r="C183" s="4"/>
      <x:c r="D183" s="4"/>
      <x:c r="E183" s="4"/>
      <x:c r="F183" s="14"/>
      <x:c r="G183" s="14"/>
      <x:c r="H183" s="14"/>
      <x:c r="I183" s="4"/>
    </x:row>
    <x:row r="184">
      <x:c r="A184" s="4"/>
      <x:c r="B184" s="4"/>
      <x:c r="C184" s="4"/>
      <x:c r="D184" s="4"/>
      <x:c r="E184" s="4"/>
      <x:c r="F184" s="14"/>
      <x:c r="G184" s="14"/>
      <x:c r="H184" s="14"/>
      <x:c r="I184" s="4"/>
    </x:row>
    <x:row r="185">
      <x:c r="A185" s="4"/>
      <x:c r="B185" s="4"/>
      <x:c r="C185" s="4"/>
      <x:c r="D185" s="4"/>
      <x:c r="E185" s="4"/>
      <x:c r="F185" s="14"/>
      <x:c r="G185" s="14"/>
      <x:c r="H185" s="14"/>
      <x:c r="I185" s="4"/>
    </x:row>
    <x:row r="186">
      <x:c r="A186" s="4"/>
      <x:c r="B186" s="4"/>
      <x:c r="C186" s="4"/>
      <x:c r="D186" s="4"/>
      <x:c r="E186" s="4"/>
      <x:c r="F186" s="14"/>
      <x:c r="G186" s="14"/>
      <x:c r="H186" s="14"/>
      <x:c r="I186" s="4"/>
    </x:row>
    <x:row r="187">
      <x:c r="A187" s="4"/>
      <x:c r="B187" s="4"/>
      <x:c r="C187" s="4"/>
      <x:c r="D187" s="4"/>
      <x:c r="E187" s="4"/>
      <x:c r="F187" s="14"/>
      <x:c r="G187" s="14"/>
      <x:c r="H187" s="14"/>
      <x:c r="I187" s="4"/>
    </x:row>
    <x:row r="188">
      <x:c r="A188" s="4"/>
      <x:c r="B188" s="4"/>
      <x:c r="C188" s="4"/>
      <x:c r="D188" s="4"/>
      <x:c r="E188" s="4"/>
      <x:c r="F188" s="14"/>
      <x:c r="G188" s="14"/>
      <x:c r="H188" s="14"/>
      <x:c r="I188" s="4"/>
    </x:row>
    <x:row r="189">
      <x:c r="A189" s="4"/>
      <x:c r="B189" s="4"/>
      <x:c r="C189" s="4"/>
      <x:c r="D189" s="4"/>
      <x:c r="E189" s="4"/>
      <x:c r="F189" s="14"/>
      <x:c r="G189" s="14"/>
      <x:c r="H189" s="14"/>
      <x:c r="I189" s="4"/>
    </x:row>
    <x:row r="190">
      <x:c r="A190" s="4"/>
      <x:c r="B190" s="4"/>
      <x:c r="C190" s="4"/>
      <x:c r="D190" s="4"/>
      <x:c r="E190" s="4"/>
      <x:c r="F190" s="14"/>
      <x:c r="G190" s="14"/>
      <x:c r="H190" s="14"/>
      <x:c r="I190" s="4"/>
    </x:row>
    <x:row r="191">
      <x:c r="A191" s="4"/>
      <x:c r="B191" s="4"/>
      <x:c r="C191" s="4"/>
      <x:c r="D191" s="4"/>
      <x:c r="E191" s="4"/>
      <x:c r="F191" s="14"/>
      <x:c r="G191" s="14"/>
      <x:c r="H191" s="14"/>
      <x:c r="I191" s="4"/>
    </x:row>
    <x:row r="192">
      <x:c r="A192" s="4"/>
      <x:c r="B192" s="4"/>
      <x:c r="C192" s="4"/>
      <x:c r="D192" s="4"/>
      <x:c r="E192" s="4"/>
      <x:c r="F192" s="14"/>
      <x:c r="G192" s="14"/>
      <x:c r="H192" s="14"/>
      <x:c r="I192" s="4"/>
    </x:row>
    <x:row r="193">
      <x:c r="A193" s="4"/>
      <x:c r="B193" s="4"/>
      <x:c r="C193" s="4"/>
      <x:c r="D193" s="4"/>
      <x:c r="E193" s="4"/>
      <x:c r="F193" s="14"/>
      <x:c r="G193" s="14"/>
      <x:c r="H193" s="14"/>
      <x:c r="I193" s="4"/>
    </x:row>
    <x:row r="194">
      <x:c r="A194" s="4"/>
      <x:c r="B194" s="4"/>
      <x:c r="C194" s="4"/>
      <x:c r="D194" s="4"/>
      <x:c r="E194" s="4"/>
      <x:c r="F194" s="14"/>
      <x:c r="G194" s="14"/>
      <x:c r="H194" s="14"/>
      <x:c r="I194" s="4"/>
    </x:row>
    <x:row r="195">
      <x:c r="A195" s="4"/>
      <x:c r="B195" s="4"/>
      <x:c r="C195" s="4"/>
      <x:c r="D195" s="4"/>
      <x:c r="E195" s="4"/>
      <x:c r="F195" s="14"/>
      <x:c r="G195" s="14"/>
      <x:c r="H195" s="14"/>
      <x:c r="I195" s="4"/>
    </x:row>
    <x:row r="196">
      <x:c r="A196" s="4"/>
      <x:c r="B196" s="4"/>
      <x:c r="C196" s="4"/>
      <x:c r="D196" s="4"/>
      <x:c r="E196" s="4"/>
      <x:c r="F196" s="14"/>
      <x:c r="G196" s="14"/>
      <x:c r="H196" s="14"/>
      <x:c r="I196" s="4"/>
    </x:row>
    <x:row r="197">
      <x:c r="A197" s="4"/>
      <x:c r="B197" s="4"/>
      <x:c r="C197" s="4"/>
      <x:c r="D197" s="4"/>
      <x:c r="E197" s="4"/>
      <x:c r="F197" s="14"/>
      <x:c r="G197" s="14"/>
      <x:c r="H197" s="14"/>
      <x:c r="I197" s="4"/>
    </x:row>
    <x:row r="198">
      <x:c r="A198" s="4"/>
      <x:c r="B198" s="4"/>
      <x:c r="C198" s="4"/>
      <x:c r="D198" s="4"/>
      <x:c r="E198" s="4"/>
      <x:c r="F198" s="14"/>
      <x:c r="G198" s="14"/>
      <x:c r="H198" s="14"/>
      <x:c r="I198" s="4"/>
    </x:row>
    <x:row r="199">
      <x:c r="A199" s="4"/>
      <x:c r="B199" s="4"/>
      <x:c r="C199" s="4"/>
      <x:c r="D199" s="4"/>
      <x:c r="E199" s="4"/>
      <x:c r="F199" s="14"/>
      <x:c r="G199" s="14"/>
      <x:c r="H199" s="14"/>
      <x:c r="I199" s="4"/>
    </x:row>
    <x:row r="200">
      <x:c r="A200" s="4"/>
      <x:c r="B200" s="4"/>
      <x:c r="C200" s="4"/>
      <x:c r="D200" s="4"/>
      <x:c r="E200" s="4"/>
      <x:c r="F200" s="14"/>
      <x:c r="G200" s="14"/>
      <x:c r="H200" s="14"/>
      <x:c r="I200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875" defaultRowHeight="14.25"/>
  <x:cols>
    <x:col min="1" max="1" width="24" customWidth="1"/>
    <x:col min="2" max="2" width="18" customWidth="1"/>
    <x:col min="3" max="3" width="34" customWidth="1"/>
    <x:col min="4" max="4" width="20" customWidth="1"/>
    <x:col min="5" max="5" width="24" customWidth="1"/>
    <x:col min="6" max="6" width="70" customWidth="1"/>
  </x:cols>
  <x:sheetData>
    <x:row r="1" ht="37.349998474121094" customHeight="1">
      <x:c r="A1" s="71" t="s">
        <x:v>137</x:v>
      </x:c>
      <x:c r="B1" s="71"/>
      <x:c r="C1" s="71"/>
      <x:c r="D1" s="71"/>
      <x:c r="E1" s="71"/>
      <x:c r="F1" s="71"/>
    </x:row>
    <x:row r="2">
      <x:c r="A2" s="72" t="s">
        <x:v>138</x:v>
      </x:c>
      <x:c r="B2" s="72"/>
      <x:c r="C2" s="72"/>
      <x:c r="D2" s="72"/>
      <x:c r="E2" s="72"/>
      <x:c r="F2" s="72"/>
    </x:row>
    <x:row r="4" ht="15">
      <x:c r="A4" s="5" t="s">
        <x:v>139</x:v>
      </x:c>
      <x:c r="B4" s="5" t="s">
        <x:v>140</x:v>
      </x:c>
      <x:c r="C4" s="5" t="s">
        <x:v>141</x:v>
      </x:c>
      <x:c r="D4" s="5" t="s">
        <x:v>142</x:v>
      </x:c>
      <x:c r="E4" s="5" t="s">
        <x:v>143</x:v>
      </x:c>
      <x:c r="F4" s="5" t="s">
        <x:v>144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57">
      <x:c r="A5" s="132"/>
      <x:c r="B5" s="132"/>
      <x:c r="C5" s="132"/>
      <x:c r="D5" s="132"/>
      <x:c r="E5" s="132"/>
      <x:c r="F5" s="132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2.75">
      <x:c r="A6" s="135"/>
      <x:c r="B6" s="135"/>
      <x:c r="C6" s="135"/>
      <x:c r="D6" s="135"/>
      <x:c r="E6" s="135"/>
      <x:c r="F6" s="135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42.75">
      <x:c r="A7" s="132"/>
      <x:c r="B7" s="132"/>
      <x:c r="C7" s="132"/>
      <x:c r="D7" s="132"/>
      <x:c r="E7" s="132"/>
      <x:c r="F7" s="132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42.75">
      <x:c r="A8" s="135"/>
      <x:c r="B8" s="135"/>
      <x:c r="C8" s="135"/>
      <x:c r="D8" s="135"/>
      <x:c r="E8" s="135"/>
      <x:c r="F8" s="135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875" defaultRowHeight="14.25"/>
  <x:cols>
    <x:col min="1" max="1" width="14" customWidth="1"/>
    <x:col min="2" max="2" width="10" customWidth="1"/>
    <x:col min="3" max="4" width="18" customWidth="1"/>
    <x:col min="5" max="5" width="14" customWidth="1"/>
    <x:col min="6" max="6" width="13" customWidth="1"/>
    <x:col min="7" max="7" width="14" customWidth="1"/>
    <x:col min="8" max="8" width="20" customWidth="1"/>
    <x:col min="9" max="9" width="24" customWidth="1"/>
    <x:col min="10" max="10" width="55" customWidth="1"/>
  </x:cols>
  <x:sheetData>
    <x:row r="1" ht="37.349998474121094" customHeight="1">
      <x:c r="A1" s="71" t="s">
        <x:v>145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>
      <x:c r="A2" s="72" t="s">
        <x:v>146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4" ht="15">
      <x:c r="A4" s="5" t="s">
        <x:v>147</x:v>
      </x:c>
      <x:c r="B4" s="5" t="s">
        <x:v>148</x:v>
      </x:c>
      <x:c r="C4" s="5" t="s">
        <x:v>149</x:v>
      </x:c>
      <x:c r="D4" s="5" t="s">
        <x:v>150</x:v>
      </x:c>
      <x:c r="E4" s="5" t="s">
        <x:v>7</x:v>
      </x:c>
      <x:c r="F4" s="5" t="s">
        <x:v>151</x:v>
      </x:c>
      <x:c r="G4" s="5" t="s">
        <x:v>152</x:v>
      </x:c>
      <x:c r="H4" s="5" t="s">
        <x:v>153</x:v>
      </x:c>
      <x:c r="I4" s="5" t="s">
        <x:v>154</x:v>
      </x:c>
      <x:c r="J4" s="5" t="s">
        <x:v>155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57.75">
      <x:c r="A5" s="134"/>
      <x:c r="B5" s="132"/>
      <x:c r="C5" s="133"/>
      <x:c r="D5" s="133"/>
      <x:c r="E5" s="152"/>
      <x:c r="F5" s="132"/>
      <x:c r="G5" s="143"/>
      <x:c r="H5" s="132"/>
      <x:c r="I5" s="132"/>
      <x:c r="J5" s="132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57.75">
      <x:c r="A6" s="144"/>
      <x:c r="B6" s="135"/>
      <x:c r="C6" s="136"/>
      <x:c r="D6" s="136"/>
      <x:c r="E6" s="152"/>
      <x:c r="F6" s="135"/>
      <x:c r="G6" s="145"/>
      <x:c r="H6" s="135"/>
      <x:c r="I6" s="135"/>
      <x:c r="J6" s="135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9.25">
      <x:c r="A7" s="134"/>
      <x:c r="B7" s="132"/>
      <x:c r="C7" s="133"/>
      <x:c r="D7" s="133"/>
      <x:c r="E7" s="152"/>
      <x:c r="F7" s="132"/>
      <x:c r="G7" s="143"/>
      <x:c r="H7" s="132"/>
      <x:c r="I7" s="132"/>
      <x:c r="J7" s="132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4"/>
      <x:c r="B8" s="4"/>
      <x:c r="C8" s="26"/>
      <x:c r="D8" s="26"/>
      <x:c r="E8" s="4"/>
      <x:c r="F8" s="4"/>
      <x:c r="G8" s="12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/>
      <x:c r="B9" s="4"/>
      <x:c r="C9" s="26"/>
      <x:c r="D9" s="26"/>
      <x:c r="E9" s="4"/>
      <x:c r="F9" s="4"/>
      <x:c r="G9" s="12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26"/>
      <x:c r="D10" s="26"/>
      <x:c r="E10" s="4"/>
      <x:c r="F10" s="4"/>
      <x:c r="G10" s="12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26"/>
      <x:c r="D11" s="26"/>
      <x:c r="E11" s="4"/>
      <x:c r="F11" s="4"/>
      <x:c r="G11" s="12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26"/>
      <x:c r="D12" s="26"/>
      <x:c r="E12" s="4"/>
      <x:c r="F12" s="4"/>
      <x:c r="G12" s="12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26"/>
      <x:c r="D13" s="26"/>
      <x:c r="E13" s="4"/>
      <x:c r="F13" s="4"/>
      <x:c r="G13" s="12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26"/>
      <x:c r="D14" s="26"/>
      <x:c r="E14" s="4"/>
      <x:c r="F14" s="4"/>
      <x:c r="G14" s="12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26"/>
      <x:c r="D15" s="26"/>
      <x:c r="E15" s="4"/>
      <x:c r="F15" s="4"/>
      <x:c r="G15" s="12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26"/>
      <x:c r="D16" s="26"/>
      <x:c r="E16" s="4"/>
      <x:c r="F16" s="4"/>
      <x:c r="G16" s="12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26"/>
      <x:c r="D17" s="26"/>
      <x:c r="E17" s="4"/>
      <x:c r="F17" s="4"/>
      <x:c r="G17" s="12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26"/>
      <x:c r="D18" s="26"/>
      <x:c r="E18" s="4"/>
      <x:c r="F18" s="4"/>
      <x:c r="G18" s="12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26"/>
      <x:c r="D19" s="26"/>
      <x:c r="E19" s="4"/>
      <x:c r="F19" s="4"/>
      <x:c r="G19" s="12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26"/>
      <x:c r="D20" s="26"/>
      <x:c r="E20" s="4"/>
      <x:c r="F20" s="4"/>
      <x:c r="G20" s="12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26"/>
      <x:c r="D21" s="26"/>
      <x:c r="E21" s="4"/>
      <x:c r="F21" s="4"/>
      <x:c r="G21" s="12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26"/>
      <x:c r="D22" s="26"/>
      <x:c r="E22" s="4"/>
      <x:c r="F22" s="4"/>
      <x:c r="G22" s="12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26"/>
      <x:c r="D23" s="26"/>
      <x:c r="E23" s="4"/>
      <x:c r="F23" s="4"/>
      <x:c r="G23" s="12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26"/>
      <x:c r="D24" s="26"/>
      <x:c r="E24" s="4"/>
      <x:c r="F24" s="4"/>
      <x:c r="G24" s="12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26"/>
      <x:c r="D25" s="26"/>
      <x:c r="E25" s="4"/>
      <x:c r="F25" s="4"/>
      <x:c r="G25" s="12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26"/>
      <x:c r="D26" s="26"/>
      <x:c r="E26" s="4"/>
      <x:c r="F26" s="4"/>
      <x:c r="G26" s="12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26"/>
      <x:c r="D27" s="26"/>
      <x:c r="E27" s="4"/>
      <x:c r="F27" s="4"/>
      <x:c r="G27" s="12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26"/>
      <x:c r="D28" s="26"/>
      <x:c r="E28" s="4"/>
      <x:c r="F28" s="4"/>
      <x:c r="G28" s="12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26"/>
      <x:c r="D29" s="26"/>
      <x:c r="E29" s="4"/>
      <x:c r="F29" s="4"/>
      <x:c r="G29" s="12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26"/>
      <x:c r="D30" s="26"/>
      <x:c r="E30" s="4"/>
      <x:c r="F30" s="4"/>
      <x:c r="G30" s="12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26"/>
      <x:c r="D31" s="26"/>
      <x:c r="E31" s="4"/>
      <x:c r="F31" s="4"/>
      <x:c r="G31" s="12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26"/>
      <x:c r="D32" s="26"/>
      <x:c r="E32" s="4"/>
      <x:c r="F32" s="4"/>
      <x:c r="G32" s="12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26"/>
      <x:c r="D33" s="26"/>
      <x:c r="E33" s="4"/>
      <x:c r="F33" s="4"/>
      <x:c r="G33" s="12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26"/>
      <x:c r="D34" s="26"/>
      <x:c r="E34" s="4"/>
      <x:c r="F34" s="4"/>
      <x:c r="G34" s="12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26"/>
      <x:c r="D35" s="26"/>
      <x:c r="E35" s="4"/>
      <x:c r="F35" s="4"/>
      <x:c r="G35" s="12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26"/>
      <x:c r="D36" s="26"/>
      <x:c r="E36" s="4"/>
      <x:c r="F36" s="4"/>
      <x:c r="G36" s="12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26"/>
      <x:c r="D37" s="26"/>
      <x:c r="E37" s="4"/>
      <x:c r="F37" s="4"/>
      <x:c r="G37" s="12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26"/>
      <x:c r="D38" s="26"/>
      <x:c r="E38" s="4"/>
      <x:c r="F38" s="4"/>
      <x:c r="G38" s="12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26"/>
      <x:c r="D39" s="26"/>
      <x:c r="E39" s="4"/>
      <x:c r="F39" s="4"/>
      <x:c r="G39" s="12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26"/>
      <x:c r="D40" s="26"/>
      <x:c r="E40" s="4"/>
      <x:c r="F40" s="4"/>
      <x:c r="G40" s="12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26"/>
      <x:c r="D41" s="26"/>
      <x:c r="E41" s="4"/>
      <x:c r="F41" s="4"/>
      <x:c r="G41" s="12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26"/>
      <x:c r="D42" s="26"/>
      <x:c r="E42" s="4"/>
      <x:c r="F42" s="4"/>
      <x:c r="G42" s="12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26"/>
      <x:c r="D43" s="26"/>
      <x:c r="E43" s="4"/>
      <x:c r="F43" s="4"/>
      <x:c r="G43" s="12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26"/>
      <x:c r="D44" s="26"/>
      <x:c r="E44" s="4"/>
      <x:c r="F44" s="4"/>
      <x:c r="G44" s="12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26"/>
      <x:c r="D45" s="26"/>
      <x:c r="E45" s="4"/>
      <x:c r="F45" s="4"/>
      <x:c r="G45" s="12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26"/>
      <x:c r="D46" s="26"/>
      <x:c r="E46" s="4"/>
      <x:c r="F46" s="4"/>
      <x:c r="G46" s="12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26"/>
      <x:c r="D47" s="26"/>
      <x:c r="E47" s="4"/>
      <x:c r="F47" s="4"/>
      <x:c r="G47" s="12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26"/>
      <x:c r="D48" s="26"/>
      <x:c r="E48" s="4"/>
      <x:c r="F48" s="4"/>
      <x:c r="G48" s="12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26"/>
      <x:c r="D49" s="26"/>
      <x:c r="E49" s="4"/>
      <x:c r="F49" s="4"/>
      <x:c r="G49" s="12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26"/>
      <x:c r="D50" s="26"/>
      <x:c r="E50" s="4"/>
      <x:c r="F50" s="4"/>
      <x:c r="G50" s="12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26"/>
      <x:c r="D51" s="26"/>
      <x:c r="E51" s="4"/>
      <x:c r="F51" s="4"/>
      <x:c r="G51" s="12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26"/>
      <x:c r="D52" s="26"/>
      <x:c r="E52" s="4"/>
      <x:c r="F52" s="4"/>
      <x:c r="G52" s="12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26"/>
      <x:c r="D53" s="26"/>
      <x:c r="E53" s="4"/>
      <x:c r="F53" s="4"/>
      <x:c r="G53" s="12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26"/>
      <x:c r="D54" s="26"/>
      <x:c r="E54" s="4"/>
      <x:c r="F54" s="4"/>
      <x:c r="G54" s="12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26"/>
      <x:c r="D55" s="26"/>
      <x:c r="E55" s="4"/>
      <x:c r="F55" s="4"/>
      <x:c r="G55" s="12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26"/>
      <x:c r="D56" s="26"/>
      <x:c r="E56" s="4"/>
      <x:c r="F56" s="4"/>
      <x:c r="G56" s="12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26"/>
      <x:c r="D57" s="26"/>
      <x:c r="E57" s="4"/>
      <x:c r="F57" s="4"/>
      <x:c r="G57" s="12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26"/>
      <x:c r="D58" s="26"/>
      <x:c r="E58" s="4"/>
      <x:c r="F58" s="4"/>
      <x:c r="G58" s="12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26"/>
      <x:c r="D59" s="26"/>
      <x:c r="E59" s="4"/>
      <x:c r="F59" s="4"/>
      <x:c r="G59" s="12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26"/>
      <x:c r="D60" s="26"/>
      <x:c r="E60" s="4"/>
      <x:c r="F60" s="4"/>
      <x:c r="G60" s="12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26"/>
      <x:c r="D61" s="26"/>
      <x:c r="E61" s="4"/>
      <x:c r="F61" s="4"/>
      <x:c r="G61" s="12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26"/>
      <x:c r="D62" s="26"/>
      <x:c r="E62" s="4"/>
      <x:c r="F62" s="4"/>
      <x:c r="G62" s="12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26"/>
      <x:c r="D63" s="26"/>
      <x:c r="E63" s="4"/>
      <x:c r="F63" s="4"/>
      <x:c r="G63" s="12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26"/>
      <x:c r="D64" s="26"/>
      <x:c r="E64" s="4"/>
      <x:c r="F64" s="4"/>
      <x:c r="G64" s="12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26"/>
      <x:c r="D65" s="26"/>
      <x:c r="E65" s="4"/>
      <x:c r="F65" s="4"/>
      <x:c r="G65" s="12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26"/>
      <x:c r="D66" s="26"/>
      <x:c r="E66" s="4"/>
      <x:c r="F66" s="4"/>
      <x:c r="G66" s="12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26"/>
      <x:c r="D67" s="26"/>
      <x:c r="E67" s="4"/>
      <x:c r="F67" s="4"/>
      <x:c r="G67" s="12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26"/>
      <x:c r="D68" s="26"/>
      <x:c r="E68" s="4"/>
      <x:c r="F68" s="4"/>
      <x:c r="G68" s="12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26"/>
      <x:c r="D69" s="26"/>
      <x:c r="E69" s="4"/>
      <x:c r="F69" s="4"/>
      <x:c r="G69" s="12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26"/>
      <x:c r="D70" s="26"/>
      <x:c r="E70" s="4"/>
      <x:c r="F70" s="4"/>
      <x:c r="G70" s="12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26"/>
      <x:c r="D71" s="26"/>
      <x:c r="E71" s="4"/>
      <x:c r="F71" s="4"/>
      <x:c r="G71" s="12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26"/>
      <x:c r="D72" s="26"/>
      <x:c r="E72" s="4"/>
      <x:c r="F72" s="4"/>
      <x:c r="G72" s="12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26"/>
      <x:c r="D73" s="26"/>
      <x:c r="E73" s="4"/>
      <x:c r="F73" s="4"/>
      <x:c r="G73" s="12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26"/>
      <x:c r="D74" s="26"/>
      <x:c r="E74" s="4"/>
      <x:c r="F74" s="4"/>
      <x:c r="G74" s="12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26"/>
      <x:c r="D75" s="26"/>
      <x:c r="E75" s="4"/>
      <x:c r="F75" s="4"/>
      <x:c r="G75" s="12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26"/>
      <x:c r="D76" s="26"/>
      <x:c r="E76" s="4"/>
      <x:c r="F76" s="4"/>
      <x:c r="G76" s="12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26"/>
      <x:c r="D77" s="26"/>
      <x:c r="E77" s="4"/>
      <x:c r="F77" s="4"/>
      <x:c r="G77" s="12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26"/>
      <x:c r="D78" s="26"/>
      <x:c r="E78" s="4"/>
      <x:c r="F78" s="4"/>
      <x:c r="G78" s="12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26"/>
      <x:c r="D79" s="26"/>
      <x:c r="E79" s="4"/>
      <x:c r="F79" s="4"/>
      <x:c r="G79" s="12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26"/>
      <x:c r="D80" s="26"/>
      <x:c r="E80" s="4"/>
      <x:c r="F80" s="4"/>
      <x:c r="G80" s="12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26"/>
      <x:c r="D81" s="26"/>
      <x:c r="E81" s="4"/>
      <x:c r="F81" s="4"/>
      <x:c r="G81" s="12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26"/>
      <x:c r="D82" s="26"/>
      <x:c r="E82" s="4"/>
      <x:c r="F82" s="4"/>
      <x:c r="G82" s="12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26"/>
      <x:c r="D83" s="26"/>
      <x:c r="E83" s="4"/>
      <x:c r="F83" s="4"/>
      <x:c r="G83" s="12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26"/>
      <x:c r="D84" s="26"/>
      <x:c r="E84" s="4"/>
      <x:c r="F84" s="4"/>
      <x:c r="G84" s="12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26"/>
      <x:c r="D85" s="26"/>
      <x:c r="E85" s="4"/>
      <x:c r="F85" s="4"/>
      <x:c r="G85" s="12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26"/>
      <x:c r="D86" s="26"/>
      <x:c r="E86" s="4"/>
      <x:c r="F86" s="4"/>
      <x:c r="G86" s="12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26"/>
      <x:c r="D87" s="26"/>
      <x:c r="E87" s="4"/>
      <x:c r="F87" s="4"/>
      <x:c r="G87" s="12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26"/>
      <x:c r="D88" s="26"/>
      <x:c r="E88" s="4"/>
      <x:c r="F88" s="4"/>
      <x:c r="G88" s="12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26"/>
      <x:c r="D89" s="26"/>
      <x:c r="E89" s="4"/>
      <x:c r="F89" s="4"/>
      <x:c r="G89" s="12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26"/>
      <x:c r="D90" s="26"/>
      <x:c r="E90" s="4"/>
      <x:c r="F90" s="4"/>
      <x:c r="G90" s="12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26"/>
      <x:c r="D91" s="26"/>
      <x:c r="E91" s="4"/>
      <x:c r="F91" s="4"/>
      <x:c r="G91" s="12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26"/>
      <x:c r="D92" s="26"/>
      <x:c r="E92" s="4"/>
      <x:c r="F92" s="4"/>
      <x:c r="G92" s="12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26"/>
      <x:c r="D93" s="26"/>
      <x:c r="E93" s="4"/>
      <x:c r="F93" s="4"/>
      <x:c r="G93" s="12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26"/>
      <x:c r="D94" s="26"/>
      <x:c r="E94" s="4"/>
      <x:c r="F94" s="4"/>
      <x:c r="G94" s="12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26"/>
      <x:c r="D95" s="26"/>
      <x:c r="E95" s="4"/>
      <x:c r="F95" s="4"/>
      <x:c r="G95" s="12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26"/>
      <x:c r="D96" s="26"/>
      <x:c r="E96" s="4"/>
      <x:c r="F96" s="4"/>
      <x:c r="G96" s="12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26"/>
      <x:c r="D97" s="26"/>
      <x:c r="E97" s="4"/>
      <x:c r="F97" s="4"/>
      <x:c r="G97" s="12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26"/>
      <x:c r="D98" s="26"/>
      <x:c r="E98" s="4"/>
      <x:c r="F98" s="4"/>
      <x:c r="G98" s="12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26"/>
      <x:c r="D99" s="26"/>
      <x:c r="E99" s="4"/>
      <x:c r="F99" s="4"/>
      <x:c r="G99" s="12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26"/>
      <x:c r="D100" s="26"/>
      <x:c r="E100" s="4"/>
      <x:c r="F100" s="4"/>
      <x:c r="G100" s="12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26"/>
      <x:c r="D101" s="26"/>
      <x:c r="E101" s="4"/>
      <x:c r="F101" s="4"/>
      <x:c r="G101" s="12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26"/>
      <x:c r="D102" s="26"/>
      <x:c r="E102" s="4"/>
      <x:c r="F102" s="4"/>
      <x:c r="G102" s="12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26"/>
      <x:c r="D103" s="26"/>
      <x:c r="E103" s="4"/>
      <x:c r="F103" s="4"/>
      <x:c r="G103" s="12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26"/>
      <x:c r="D104" s="26"/>
      <x:c r="E104" s="4"/>
      <x:c r="F104" s="4"/>
      <x:c r="G104" s="12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26"/>
      <x:c r="D105" s="26"/>
      <x:c r="E105" s="4"/>
      <x:c r="F105" s="4"/>
      <x:c r="G105" s="12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26"/>
      <x:c r="D106" s="26"/>
      <x:c r="E106" s="4"/>
      <x:c r="F106" s="4"/>
      <x:c r="G106" s="12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26"/>
      <x:c r="D107" s="26"/>
      <x:c r="E107" s="4"/>
      <x:c r="F107" s="4"/>
      <x:c r="G107" s="12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26"/>
      <x:c r="D108" s="26"/>
      <x:c r="E108" s="4"/>
      <x:c r="F108" s="4"/>
      <x:c r="G108" s="12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26"/>
      <x:c r="D109" s="26"/>
      <x:c r="E109" s="4"/>
      <x:c r="F109" s="4"/>
      <x:c r="G109" s="12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26"/>
      <x:c r="D110" s="26"/>
      <x:c r="E110" s="4"/>
      <x:c r="F110" s="4"/>
      <x:c r="G110" s="12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26"/>
      <x:c r="D111" s="26"/>
      <x:c r="E111" s="4"/>
      <x:c r="F111" s="4"/>
      <x:c r="G111" s="12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26"/>
      <x:c r="D112" s="26"/>
      <x:c r="E112" s="4"/>
      <x:c r="F112" s="4"/>
      <x:c r="G112" s="12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26"/>
      <x:c r="D113" s="26"/>
      <x:c r="E113" s="4"/>
      <x:c r="F113" s="4"/>
      <x:c r="G113" s="12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26"/>
      <x:c r="D114" s="26"/>
      <x:c r="E114" s="4"/>
      <x:c r="F114" s="4"/>
      <x:c r="G114" s="12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26"/>
      <x:c r="D115" s="26"/>
      <x:c r="E115" s="4"/>
      <x:c r="F115" s="4"/>
      <x:c r="G115" s="12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26"/>
      <x:c r="D116" s="26"/>
      <x:c r="E116" s="4"/>
      <x:c r="F116" s="4"/>
      <x:c r="G116" s="12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26"/>
      <x:c r="D117" s="26"/>
      <x:c r="E117" s="4"/>
      <x:c r="F117" s="4"/>
      <x:c r="G117" s="12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26"/>
      <x:c r="D118" s="26"/>
      <x:c r="E118" s="4"/>
      <x:c r="F118" s="4"/>
      <x:c r="G118" s="12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26"/>
      <x:c r="D119" s="26"/>
      <x:c r="E119" s="4"/>
      <x:c r="F119" s="4"/>
      <x:c r="G119" s="12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26"/>
      <x:c r="D120" s="26"/>
      <x:c r="E120" s="4"/>
      <x:c r="F120" s="4"/>
      <x:c r="G120" s="12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C121" s="27"/>
      <x:c r="D121" s="27"/>
      <x:c r="G121" s="13"/>
    </x:row>
    <x:row r="122">
      <x:c r="C122" s="27"/>
      <x:c r="D122" s="27"/>
      <x:c r="G122" s="13"/>
    </x:row>
    <x:row r="123">
      <x:c r="C123" s="27"/>
      <x:c r="D123" s="27"/>
      <x:c r="G123" s="13"/>
    </x:row>
    <x:row r="124">
      <x:c r="C124" s="27"/>
      <x:c r="D124" s="27"/>
      <x:c r="G124" s="13"/>
    </x:row>
    <x:row r="125">
      <x:c r="C125" s="27"/>
      <x:c r="D125" s="27"/>
      <x:c r="G125" s="13"/>
    </x:row>
    <x:row r="126">
      <x:c r="C126" s="27"/>
      <x:c r="D126" s="27"/>
      <x:c r="G126" s="13"/>
    </x:row>
    <x:row r="127">
      <x:c r="C127" s="27"/>
      <x:c r="D127" s="27"/>
      <x:c r="G127" s="13"/>
    </x:row>
    <x:row r="128">
      <x:c r="C128" s="27"/>
      <x:c r="D128" s="27"/>
      <x:c r="G128" s="13"/>
    </x:row>
    <x:row r="129">
      <x:c r="C129" s="27"/>
      <x:c r="D129" s="27"/>
      <x:c r="G129" s="13"/>
    </x:row>
    <x:row r="130">
      <x:c r="C130" s="27"/>
      <x:c r="D130" s="27"/>
      <x:c r="G130" s="13"/>
    </x:row>
    <x:row r="131">
      <x:c r="C131" s="27"/>
      <x:c r="D131" s="27"/>
      <x:c r="G131" s="13"/>
    </x:row>
    <x:row r="132">
      <x:c r="C132" s="27"/>
      <x:c r="D132" s="27"/>
      <x:c r="G132" s="13"/>
    </x:row>
    <x:row r="133">
      <x:c r="C133" s="27"/>
      <x:c r="D133" s="27"/>
      <x:c r="G133" s="13"/>
    </x:row>
    <x:row r="134">
      <x:c r="C134" s="27"/>
      <x:c r="D134" s="27"/>
      <x:c r="G134" s="13"/>
    </x:row>
    <x:row r="135">
      <x:c r="C135" s="27"/>
      <x:c r="D135" s="27"/>
      <x:c r="G135" s="13"/>
    </x:row>
    <x:row r="136">
      <x:c r="C136" s="27"/>
      <x:c r="D136" s="27"/>
      <x:c r="G136" s="13"/>
    </x:row>
    <x:row r="137">
      <x:c r="C137" s="27"/>
      <x:c r="D137" s="27"/>
      <x:c r="G137" s="13"/>
    </x:row>
    <x:row r="138">
      <x:c r="C138" s="27"/>
      <x:c r="D138" s="27"/>
      <x:c r="G138" s="13"/>
    </x:row>
    <x:row r="139">
      <x:c r="C139" s="27"/>
      <x:c r="D139" s="27"/>
      <x:c r="G139" s="13"/>
    </x:row>
    <x:row r="140">
      <x:c r="C140" s="27"/>
      <x:c r="D140" s="27"/>
      <x:c r="G140" s="13"/>
    </x:row>
    <x:row r="141">
      <x:c r="C141" s="27"/>
      <x:c r="D141" s="27"/>
      <x:c r="G141" s="13"/>
    </x:row>
    <x:row r="142">
      <x:c r="C142" s="27"/>
      <x:c r="D142" s="27"/>
      <x:c r="G142" s="13"/>
    </x:row>
    <x:row r="143">
      <x:c r="C143" s="27"/>
      <x:c r="D143" s="27"/>
      <x:c r="G143" s="13"/>
    </x:row>
    <x:row r="144">
      <x:c r="C144" s="27"/>
      <x:c r="D144" s="27"/>
      <x:c r="G144" s="13"/>
    </x:row>
    <x:row r="145">
      <x:c r="C145" s="27"/>
      <x:c r="D145" s="27"/>
      <x:c r="G145" s="13"/>
    </x:row>
    <x:row r="146">
      <x:c r="C146" s="27"/>
      <x:c r="D146" s="27"/>
      <x:c r="G146" s="13"/>
    </x:row>
    <x:row r="147">
      <x:c r="C147" s="27"/>
      <x:c r="D147" s="27"/>
      <x:c r="G147" s="13"/>
    </x:row>
    <x:row r="148">
      <x:c r="C148" s="27"/>
      <x:c r="D148" s="27"/>
      <x:c r="G148" s="13"/>
    </x:row>
    <x:row r="149">
      <x:c r="C149" s="27"/>
      <x:c r="D149" s="27"/>
      <x:c r="G149" s="13"/>
    </x:row>
    <x:row r="150">
      <x:c r="C150" s="27"/>
      <x:c r="D150" s="27"/>
      <x:c r="G150" s="13"/>
    </x:row>
    <x:row r="151">
      <x:c r="C151" s="27"/>
      <x:c r="D151" s="27"/>
      <x:c r="G151" s="13"/>
    </x:row>
    <x:row r="152">
      <x:c r="C152" s="27"/>
      <x:c r="D152" s="27"/>
      <x:c r="G152" s="13"/>
    </x:row>
    <x:row r="153">
      <x:c r="C153" s="27"/>
      <x:c r="D153" s="27"/>
      <x:c r="G153" s="13"/>
    </x:row>
    <x:row r="154">
      <x:c r="C154" s="27"/>
      <x:c r="D154" s="27"/>
      <x:c r="G154" s="13"/>
    </x:row>
    <x:row r="155">
      <x:c r="C155" s="27"/>
      <x:c r="D155" s="27"/>
      <x:c r="G155" s="13"/>
    </x:row>
    <x:row r="156">
      <x:c r="C156" s="27"/>
      <x:c r="D156" s="27"/>
      <x:c r="G156" s="13"/>
    </x:row>
    <x:row r="157">
      <x:c r="C157" s="27"/>
      <x:c r="D157" s="27"/>
      <x:c r="G157" s="13"/>
    </x:row>
    <x:row r="158">
      <x:c r="C158" s="27"/>
      <x:c r="D158" s="27"/>
      <x:c r="G158" s="13"/>
    </x:row>
    <x:row r="159">
      <x:c r="C159" s="27"/>
      <x:c r="D159" s="27"/>
      <x:c r="G159" s="13"/>
    </x:row>
    <x:row r="160">
      <x:c r="C160" s="27"/>
      <x:c r="D160" s="27"/>
      <x:c r="G160" s="13"/>
    </x:row>
    <x:row r="161">
      <x:c r="C161" s="27"/>
      <x:c r="D161" s="27"/>
      <x:c r="G161" s="13"/>
    </x:row>
    <x:row r="162">
      <x:c r="C162" s="27"/>
      <x:c r="D162" s="27"/>
      <x:c r="G162" s="13"/>
    </x:row>
    <x:row r="163">
      <x:c r="C163" s="27"/>
      <x:c r="D163" s="27"/>
      <x:c r="G163" s="13"/>
    </x:row>
    <x:row r="164">
      <x:c r="C164" s="27"/>
      <x:c r="D164" s="27"/>
      <x:c r="G164" s="13"/>
    </x:row>
    <x:row r="165">
      <x:c r="C165" s="27"/>
      <x:c r="D165" s="27"/>
      <x:c r="G165" s="13"/>
    </x:row>
    <x:row r="166">
      <x:c r="C166" s="27"/>
      <x:c r="D166" s="27"/>
      <x:c r="G166" s="13"/>
    </x:row>
    <x:row r="167">
      <x:c r="C167" s="27"/>
      <x:c r="D167" s="27"/>
      <x:c r="G167" s="13"/>
    </x:row>
    <x:row r="168">
      <x:c r="C168" s="27"/>
      <x:c r="D168" s="27"/>
      <x:c r="G168" s="13"/>
    </x:row>
    <x:row r="169">
      <x:c r="C169" s="27"/>
      <x:c r="D169" s="27"/>
      <x:c r="G169" s="13"/>
    </x:row>
    <x:row r="170">
      <x:c r="C170" s="27"/>
      <x:c r="D170" s="27"/>
      <x:c r="G170" s="13"/>
    </x:row>
    <x:row r="171">
      <x:c r="C171" s="27"/>
      <x:c r="D171" s="27"/>
      <x:c r="G171" s="13"/>
    </x:row>
    <x:row r="172">
      <x:c r="C172" s="27"/>
      <x:c r="D172" s="27"/>
      <x:c r="G172" s="13"/>
    </x:row>
    <x:row r="173">
      <x:c r="C173" s="27"/>
      <x:c r="D173" s="27"/>
      <x:c r="G173" s="13"/>
    </x:row>
    <x:row r="174">
      <x:c r="C174" s="27"/>
      <x:c r="D174" s="27"/>
      <x:c r="G174" s="13"/>
    </x:row>
    <x:row r="175">
      <x:c r="C175" s="27"/>
      <x:c r="D175" s="27"/>
      <x:c r="G175" s="13"/>
    </x:row>
    <x:row r="176">
      <x:c r="C176" s="27"/>
      <x:c r="D176" s="27"/>
      <x:c r="G176" s="13"/>
    </x:row>
    <x:row r="177">
      <x:c r="C177" s="27"/>
      <x:c r="D177" s="27"/>
      <x:c r="G177" s="13"/>
    </x:row>
    <x:row r="178">
      <x:c r="C178" s="27"/>
      <x:c r="D178" s="27"/>
      <x:c r="G178" s="13"/>
    </x:row>
    <x:row r="179">
      <x:c r="C179" s="27"/>
      <x:c r="D179" s="27"/>
      <x:c r="G179" s="13"/>
    </x:row>
    <x:row r="180">
      <x:c r="C180" s="27"/>
      <x:c r="D180" s="27"/>
      <x:c r="G180" s="13"/>
    </x:row>
    <x:row r="181">
      <x:c r="C181" s="27"/>
      <x:c r="D181" s="27"/>
      <x:c r="G181" s="13"/>
    </x:row>
    <x:row r="182">
      <x:c r="C182" s="27"/>
      <x:c r="D182" s="27"/>
      <x:c r="G182" s="13"/>
    </x:row>
    <x:row r="183">
      <x:c r="C183" s="27"/>
      <x:c r="D183" s="27"/>
      <x:c r="G183" s="13"/>
    </x:row>
    <x:row r="184">
      <x:c r="C184" s="27"/>
      <x:c r="D184" s="27"/>
      <x:c r="G184" s="13"/>
    </x:row>
    <x:row r="185">
      <x:c r="C185" s="27"/>
      <x:c r="D185" s="27"/>
      <x:c r="G185" s="13"/>
    </x:row>
    <x:row r="186">
      <x:c r="C186" s="27"/>
      <x:c r="D186" s="27"/>
      <x:c r="G186" s="13"/>
    </x:row>
    <x:row r="187">
      <x:c r="C187" s="27"/>
      <x:c r="D187" s="27"/>
      <x:c r="G187" s="13"/>
    </x:row>
    <x:row r="188">
      <x:c r="C188" s="27"/>
      <x:c r="D188" s="27"/>
      <x:c r="G188" s="13"/>
    </x:row>
    <x:row r="189">
      <x:c r="C189" s="27"/>
      <x:c r="D189" s="27"/>
      <x:c r="G189" s="13"/>
    </x:row>
    <x:row r="190">
      <x:c r="C190" s="27"/>
      <x:c r="D190" s="27"/>
      <x:c r="G190" s="13"/>
    </x:row>
    <x:row r="191">
      <x:c r="C191" s="27"/>
      <x:c r="D191" s="27"/>
      <x:c r="G191" s="13"/>
    </x:row>
    <x:row r="192">
      <x:c r="C192" s="27"/>
      <x:c r="D192" s="27"/>
      <x:c r="G192" s="13"/>
    </x:row>
    <x:row r="193">
      <x:c r="C193" s="27"/>
      <x:c r="D193" s="27"/>
      <x:c r="G193" s="13"/>
    </x:row>
    <x:row r="194">
      <x:c r="C194" s="27"/>
      <x:c r="D194" s="27"/>
      <x:c r="G194" s="13"/>
    </x:row>
    <x:row r="195">
      <x:c r="C195" s="27"/>
      <x:c r="D195" s="27"/>
      <x:c r="G195" s="13"/>
    </x:row>
    <x:row r="196">
      <x:c r="C196" s="27"/>
      <x:c r="D196" s="27"/>
      <x:c r="G196" s="13"/>
    </x:row>
    <x:row r="197">
      <x:c r="C197" s="27"/>
      <x:c r="D197" s="27"/>
      <x:c r="G197" s="13"/>
    </x:row>
    <x:row r="198">
      <x:c r="C198" s="27"/>
      <x:c r="D198" s="27"/>
      <x:c r="G198" s="13"/>
    </x:row>
    <x:row r="199">
      <x:c r="C199" s="27"/>
      <x:c r="D199" s="27"/>
      <x:c r="G199" s="13"/>
    </x:row>
    <x:row r="200">
      <x:c r="C200" s="27"/>
      <x:c r="D200" s="27"/>
      <x:c r="G200" s="13"/>
    </x:row>
    <x:row r="201">
      <x:c r="G201" s="13"/>
    </x:row>
    <x:row r="202">
      <x:c r="G202" s="13"/>
    </x:row>
    <x:row r="203">
      <x:c r="G203" s="13"/>
    </x:row>
    <x:row r="204">
      <x:c r="G204" s="13"/>
    </x:row>
    <x:row r="205">
      <x:c r="G205" s="13"/>
    </x:row>
    <x:row r="206">
      <x:c r="G206" s="13"/>
    </x:row>
    <x:row r="207">
      <x:c r="G207" s="13"/>
    </x:row>
    <x:row r="208">
      <x:c r="G208" s="13"/>
    </x:row>
    <x:row r="209">
      <x:c r="G209" s="13"/>
    </x:row>
    <x:row r="210">
      <x:c r="G210" s="13"/>
    </x:row>
    <x:row r="211">
      <x:c r="G211" s="13"/>
    </x:row>
    <x:row r="212">
      <x:c r="G212" s="13"/>
    </x:row>
    <x:row r="213">
      <x:c r="G213" s="13"/>
    </x:row>
    <x:row r="214">
      <x:c r="G214" s="13"/>
    </x:row>
    <x:row r="215">
      <x:c r="G215" s="13"/>
    </x:row>
    <x:row r="216">
      <x:c r="G216" s="13"/>
    </x:row>
    <x:row r="217">
      <x:c r="G217" s="13"/>
    </x:row>
    <x:row r="218">
      <x:c r="G218" s="13"/>
    </x:row>
    <x:row r="219">
      <x:c r="G219" s="13"/>
    </x:row>
    <x:row r="220">
      <x:c r="G220" s="13"/>
    </x:row>
    <x:row r="221">
      <x:c r="G221" s="13"/>
    </x:row>
    <x:row r="222">
      <x:c r="G222" s="13"/>
    </x:row>
    <x:row r="223">
      <x:c r="G223" s="13"/>
    </x:row>
    <x:row r="224">
      <x:c r="G224" s="13"/>
    </x:row>
    <x:row r="225">
      <x:c r="G225" s="13"/>
    </x:row>
    <x:row r="226">
      <x:c r="G226" s="13"/>
    </x:row>
    <x:row r="227">
      <x:c r="G227" s="13"/>
    </x:row>
    <x:row r="228">
      <x:c r="G228" s="13"/>
    </x:row>
    <x:row r="229">
      <x:c r="G229" s="13"/>
    </x:row>
    <x:row r="230">
      <x:c r="G230" s="13"/>
    </x:row>
    <x:row r="231">
      <x:c r="G231" s="13"/>
    </x:row>
    <x:row r="232">
      <x:c r="G232" s="13"/>
    </x:row>
    <x:row r="233">
      <x:c r="G233" s="13"/>
    </x:row>
    <x:row r="234">
      <x:c r="G234" s="13"/>
    </x:row>
    <x:row r="235">
      <x:c r="G235" s="13"/>
    </x:row>
    <x:row r="236">
      <x:c r="G236" s="13"/>
    </x:row>
    <x:row r="237">
      <x:c r="G237" s="13"/>
    </x:row>
    <x:row r="238">
      <x:c r="G238" s="13"/>
    </x:row>
    <x:row r="239">
      <x:c r="G239" s="13"/>
    </x:row>
    <x:row r="240">
      <x:c r="G240" s="13"/>
    </x:row>
    <x:row r="241">
      <x:c r="G241" s="13"/>
    </x:row>
    <x:row r="242">
      <x:c r="G242" s="13"/>
    </x:row>
    <x:row r="243">
      <x:c r="G243" s="13"/>
    </x:row>
    <x:row r="244">
      <x:c r="G244" s="13"/>
    </x:row>
    <x:row r="245">
      <x:c r="G245" s="13"/>
    </x:row>
    <x:row r="246">
      <x:c r="G246" s="13"/>
    </x:row>
    <x:row r="247">
      <x:c r="G247" s="13"/>
    </x:row>
    <x:row r="248">
      <x:c r="G248" s="13"/>
    </x:row>
    <x:row r="249">
      <x:c r="G249" s="13"/>
    </x:row>
    <x:row r="250">
      <x:c r="G250" s="13"/>
    </x:row>
    <x:row r="251">
      <x:c r="G251" s="13"/>
    </x:row>
    <x:row r="252">
      <x:c r="G252" s="13"/>
    </x:row>
    <x:row r="253">
      <x:c r="G253" s="13"/>
    </x:row>
    <x:row r="254">
      <x:c r="G254" s="13"/>
    </x:row>
    <x:row r="255">
      <x:c r="G255" s="13"/>
    </x:row>
    <x:row r="256">
      <x:c r="G256" s="13"/>
    </x:row>
    <x:row r="257">
      <x:c r="G257" s="13"/>
    </x:row>
    <x:row r="258">
      <x:c r="G258" s="13"/>
    </x:row>
    <x:row r="259">
      <x:c r="G259" s="13"/>
    </x:row>
    <x:row r="260">
      <x:c r="G260" s="13"/>
    </x:row>
    <x:row r="261">
      <x:c r="G261" s="13"/>
    </x:row>
    <x:row r="262">
      <x:c r="G262" s="13"/>
    </x:row>
    <x:row r="263">
      <x:c r="G263" s="13"/>
    </x:row>
    <x:row r="264">
      <x:c r="G264" s="13"/>
    </x:row>
    <x:row r="265">
      <x:c r="G265" s="13"/>
    </x:row>
    <x:row r="266">
      <x:c r="G266" s="13"/>
    </x:row>
    <x:row r="267">
      <x:c r="G267" s="13"/>
    </x:row>
    <x:row r="268">
      <x:c r="G268" s="13"/>
    </x:row>
    <x:row r="269">
      <x:c r="G269" s="13"/>
    </x:row>
    <x:row r="270">
      <x:c r="G270" s="13"/>
    </x:row>
    <x:row r="271">
      <x:c r="G271" s="13"/>
    </x:row>
    <x:row r="272">
      <x:c r="G272" s="13"/>
    </x:row>
    <x:row r="273">
      <x:c r="G273" s="13"/>
    </x:row>
    <x:row r="274">
      <x:c r="G274" s="13"/>
    </x:row>
    <x:row r="275">
      <x:c r="G275" s="13"/>
    </x:row>
    <x:row r="276">
      <x:c r="G276" s="13"/>
    </x:row>
    <x:row r="277">
      <x:c r="G277" s="13"/>
    </x:row>
    <x:row r="278">
      <x:c r="G278" s="13"/>
    </x:row>
    <x:row r="279">
      <x:c r="G279" s="13"/>
    </x:row>
    <x:row r="280">
      <x:c r="G280" s="13"/>
    </x:row>
    <x:row r="281">
      <x:c r="G281" s="13"/>
    </x:row>
    <x:row r="282">
      <x:c r="G282" s="13"/>
    </x:row>
    <x:row r="283">
      <x:c r="G283" s="13"/>
    </x:row>
    <x:row r="284">
      <x:c r="G284" s="13"/>
    </x:row>
    <x:row r="285">
      <x:c r="G285" s="13"/>
    </x:row>
    <x:row r="286">
      <x:c r="G286" s="13"/>
    </x:row>
    <x:row r="287">
      <x:c r="G287" s="13"/>
    </x:row>
    <x:row r="288">
      <x:c r="G288" s="13"/>
    </x:row>
    <x:row r="289">
      <x:c r="G289" s="13"/>
    </x:row>
    <x:row r="290">
      <x:c r="G290" s="13"/>
    </x:row>
    <x:row r="291">
      <x:c r="G291" s="13"/>
    </x:row>
    <x:row r="292">
      <x:c r="G292" s="13"/>
    </x:row>
    <x:row r="293">
      <x:c r="G293" s="13"/>
    </x:row>
    <x:row r="294">
      <x:c r="G294" s="13"/>
    </x:row>
    <x:row r="295">
      <x:c r="G295" s="13"/>
    </x:row>
    <x:row r="296">
      <x:c r="G296" s="13"/>
    </x:row>
    <x:row r="297">
      <x:c r="G297" s="13"/>
    </x:row>
    <x:row r="298">
      <x:c r="G298" s="13"/>
    </x:row>
    <x:row r="299">
      <x:c r="G299" s="13"/>
    </x:row>
    <x:row r="300">
      <x:c r="G300" s="13"/>
    </x:row>
    <x:row r="301">
      <x:c r="G301" s="13"/>
    </x:row>
    <x:row r="302">
      <x:c r="G302" s="13"/>
    </x:row>
    <x:row r="303">
      <x:c r="G303" s="13"/>
    </x:row>
    <x:row r="304">
      <x:c r="G304" s="13"/>
    </x:row>
    <x:row r="305">
      <x:c r="G305" s="13"/>
    </x:row>
    <x:row r="306">
      <x:c r="G306" s="13"/>
    </x:row>
    <x:row r="307">
      <x:c r="G307" s="13"/>
    </x:row>
    <x:row r="308">
      <x:c r="G308" s="13"/>
    </x:row>
    <x:row r="309">
      <x:c r="G309" s="13"/>
    </x:row>
    <x:row r="310">
      <x:c r="G310" s="13"/>
    </x:row>
    <x:row r="311">
      <x:c r="G311" s="13"/>
    </x:row>
    <x:row r="312">
      <x:c r="G312" s="13"/>
    </x:row>
    <x:row r="313">
      <x:c r="G313" s="13"/>
    </x:row>
    <x:row r="314">
      <x:c r="G314" s="13"/>
    </x:row>
    <x:row r="315">
      <x:c r="G315" s="13"/>
    </x:row>
    <x:row r="316">
      <x:c r="G316" s="13"/>
    </x:row>
    <x:row r="317">
      <x:c r="G317" s="13"/>
    </x:row>
    <x:row r="318">
      <x:c r="G318" s="13"/>
    </x:row>
    <x:row r="319">
      <x:c r="G319" s="13"/>
    </x:row>
    <x:row r="320">
      <x:c r="G320" s="13"/>
    </x:row>
    <x:row r="321">
      <x:c r="G321" s="13"/>
    </x:row>
    <x:row r="322">
      <x:c r="G322" s="13"/>
    </x:row>
    <x:row r="323">
      <x:c r="G323" s="13"/>
    </x:row>
    <x:row r="324">
      <x:c r="G324" s="13"/>
    </x:row>
    <x:row r="325">
      <x:c r="G325" s="13"/>
    </x:row>
    <x:row r="326">
      <x:c r="G326" s="13"/>
    </x:row>
    <x:row r="327">
      <x:c r="G327" s="13"/>
    </x:row>
    <x:row r="328">
      <x:c r="G328" s="13"/>
    </x:row>
    <x:row r="329">
      <x:c r="G329" s="13"/>
    </x:row>
    <x:row r="330">
      <x:c r="G330" s="13"/>
    </x:row>
    <x:row r="331">
      <x:c r="G331" s="13"/>
    </x:row>
    <x:row r="332">
      <x:c r="G332" s="13"/>
    </x:row>
    <x:row r="333">
      <x:c r="G333" s="13"/>
    </x:row>
    <x:row r="334">
      <x:c r="G334" s="13"/>
    </x:row>
    <x:row r="335">
      <x:c r="G335" s="13"/>
    </x:row>
    <x:row r="336">
      <x:c r="G336" s="13"/>
    </x:row>
    <x:row r="337">
      <x:c r="G337" s="13"/>
    </x:row>
    <x:row r="338">
      <x:c r="G338" s="13"/>
    </x:row>
    <x:row r="339">
      <x:c r="G339" s="13"/>
    </x:row>
    <x:row r="340">
      <x:c r="G340" s="13"/>
    </x:row>
    <x:row r="341">
      <x:c r="G341" s="13"/>
    </x:row>
    <x:row r="342">
      <x:c r="G342" s="13"/>
    </x:row>
    <x:row r="343">
      <x:c r="G343" s="13"/>
    </x:row>
    <x:row r="344">
      <x:c r="G344" s="13"/>
    </x:row>
    <x:row r="345">
      <x:c r="G345" s="13"/>
    </x:row>
    <x:row r="346">
      <x:c r="G346" s="13"/>
    </x:row>
    <x:row r="347">
      <x:c r="G347" s="13"/>
    </x:row>
    <x:row r="348">
      <x:c r="G348" s="13"/>
    </x:row>
    <x:row r="349">
      <x:c r="G349" s="13"/>
    </x:row>
    <x:row r="350">
      <x:c r="G350" s="13"/>
    </x:row>
    <x:row r="351">
      <x:c r="G351" s="13"/>
    </x:row>
    <x:row r="352">
      <x:c r="G352" s="13"/>
    </x:row>
    <x:row r="353">
      <x:c r="G353" s="13"/>
    </x:row>
    <x:row r="354">
      <x:c r="G354" s="13"/>
    </x:row>
    <x:row r="355">
      <x:c r="G355" s="13"/>
    </x:row>
    <x:row r="356">
      <x:c r="G356" s="13"/>
    </x:row>
    <x:row r="357">
      <x:c r="G357" s="13"/>
    </x:row>
    <x:row r="358">
      <x:c r="G358" s="13"/>
    </x:row>
    <x:row r="359">
      <x:c r="G359" s="13"/>
    </x:row>
    <x:row r="360">
      <x:c r="G360" s="13"/>
    </x:row>
    <x:row r="361">
      <x:c r="G361" s="13"/>
    </x:row>
    <x:row r="362">
      <x:c r="G362" s="13"/>
    </x:row>
    <x:row r="363">
      <x:c r="G363" s="13"/>
    </x:row>
    <x:row r="364">
      <x:c r="G364" s="13"/>
    </x:row>
    <x:row r="365">
      <x:c r="G365" s="13"/>
    </x:row>
    <x:row r="366">
      <x:c r="G366" s="13"/>
    </x:row>
    <x:row r="367">
      <x:c r="G367" s="13"/>
    </x:row>
    <x:row r="368">
      <x:c r="G368" s="13"/>
    </x:row>
    <x:row r="369">
      <x:c r="G369" s="13"/>
    </x:row>
    <x:row r="370">
      <x:c r="G370" s="13"/>
    </x:row>
    <x:row r="371">
      <x:c r="G371" s="13"/>
    </x:row>
    <x:row r="372">
      <x:c r="G372" s="13"/>
    </x:row>
    <x:row r="373">
      <x:c r="G373" s="13"/>
    </x:row>
    <x:row r="374">
      <x:c r="G374" s="13"/>
    </x:row>
    <x:row r="375">
      <x:c r="G375" s="13"/>
    </x:row>
    <x:row r="376">
      <x:c r="G376" s="13"/>
    </x:row>
    <x:row r="377">
      <x:c r="G377" s="13"/>
    </x:row>
    <x:row r="378">
      <x:c r="G378" s="13"/>
    </x:row>
    <x:row r="379">
      <x:c r="G379" s="13"/>
    </x:row>
    <x:row r="380">
      <x:c r="G380" s="13"/>
    </x:row>
    <x:row r="381">
      <x:c r="G381" s="13"/>
    </x:row>
    <x:row r="382">
      <x:c r="G382" s="13"/>
    </x:row>
    <x:row r="383">
      <x:c r="G383" s="13"/>
    </x:row>
    <x:row r="384">
      <x:c r="G384" s="13"/>
    </x:row>
    <x:row r="385">
      <x:c r="G385" s="13"/>
    </x:row>
    <x:row r="386">
      <x:c r="G386" s="13"/>
    </x:row>
    <x:row r="387">
      <x:c r="G387" s="13"/>
    </x:row>
    <x:row r="388">
      <x:c r="G388" s="13"/>
    </x:row>
    <x:row r="389">
      <x:c r="G389" s="13"/>
    </x:row>
    <x:row r="390">
      <x:c r="G390" s="13"/>
    </x:row>
    <x:row r="391">
      <x:c r="G391" s="13"/>
    </x:row>
    <x:row r="392">
      <x:c r="G392" s="13"/>
    </x:row>
    <x:row r="393">
      <x:c r="G393" s="13"/>
    </x:row>
    <x:row r="394">
      <x:c r="G394" s="13"/>
    </x:row>
    <x:row r="395">
      <x:c r="G395" s="13"/>
    </x:row>
    <x:row r="396">
      <x:c r="G396" s="13"/>
    </x:row>
    <x:row r="397">
      <x:c r="G397" s="13"/>
    </x:row>
    <x:row r="398">
      <x:c r="G398" s="13"/>
    </x:row>
    <x:row r="399">
      <x:c r="G399" s="13"/>
    </x:row>
    <x:row r="400">
      <x:c r="G400" s="13"/>
    </x:row>
    <x:row r="401">
      <x:c r="G401" s="13"/>
    </x:row>
    <x:row r="402">
      <x:c r="G402" s="13"/>
    </x:row>
    <x:row r="403">
      <x:c r="G403" s="13"/>
    </x:row>
    <x:row r="404">
      <x:c r="G404" s="13"/>
    </x:row>
    <x:row r="405">
      <x:c r="G405" s="13"/>
    </x:row>
    <x:row r="406">
      <x:c r="G406" s="13"/>
    </x:row>
    <x:row r="407">
      <x:c r="G407" s="13"/>
    </x:row>
    <x:row r="408">
      <x:c r="G408" s="13"/>
    </x:row>
    <x:row r="409">
      <x:c r="G409" s="13"/>
    </x:row>
    <x:row r="410">
      <x:c r="G410" s="13"/>
    </x:row>
    <x:row r="411">
      <x:c r="G411" s="13"/>
    </x:row>
    <x:row r="412">
      <x:c r="G412" s="13"/>
    </x:row>
    <x:row r="413">
      <x:c r="G413" s="13"/>
    </x:row>
    <x:row r="414">
      <x:c r="G414" s="13"/>
    </x:row>
    <x:row r="415">
      <x:c r="G415" s="13"/>
    </x:row>
    <x:row r="416">
      <x:c r="G416" s="13"/>
    </x:row>
    <x:row r="417">
      <x:c r="G417" s="13"/>
    </x:row>
    <x:row r="418">
      <x:c r="G418" s="13"/>
    </x:row>
    <x:row r="419">
      <x:c r="G419" s="13"/>
    </x:row>
    <x:row r="420">
      <x:c r="G420" s="13"/>
    </x:row>
    <x:row r="421">
      <x:c r="G421" s="13"/>
    </x:row>
    <x:row r="422">
      <x:c r="G422" s="13"/>
    </x:row>
    <x:row r="423">
      <x:c r="G423" s="13"/>
    </x:row>
    <x:row r="424">
      <x:c r="G424" s="13"/>
    </x:row>
    <x:row r="425">
      <x:c r="G425" s="13"/>
    </x:row>
    <x:row r="426">
      <x:c r="G426" s="13"/>
    </x:row>
    <x:row r="427">
      <x:c r="G427" s="13"/>
    </x:row>
    <x:row r="428">
      <x:c r="G428" s="13"/>
    </x:row>
    <x:row r="429">
      <x:c r="G429" s="13"/>
    </x:row>
    <x:row r="430">
      <x:c r="G430" s="13"/>
    </x:row>
    <x:row r="431">
      <x:c r="G431" s="13"/>
    </x:row>
    <x:row r="432">
      <x:c r="G432" s="13"/>
    </x:row>
    <x:row r="433">
      <x:c r="G433" s="13"/>
    </x:row>
    <x:row r="434">
      <x:c r="G434" s="13"/>
    </x:row>
    <x:row r="435">
      <x:c r="G435" s="13"/>
    </x:row>
    <x:row r="436">
      <x:c r="G436" s="13"/>
    </x:row>
    <x:row r="437">
      <x:c r="G437" s="13"/>
    </x:row>
    <x:row r="438">
      <x:c r="G438" s="13"/>
    </x:row>
    <x:row r="439">
      <x:c r="G439" s="13"/>
    </x:row>
    <x:row r="440">
      <x:c r="G440" s="13"/>
    </x:row>
    <x:row r="441">
      <x:c r="G441" s="13"/>
    </x:row>
    <x:row r="442">
      <x:c r="G442" s="13"/>
    </x:row>
    <x:row r="443">
      <x:c r="G443" s="13"/>
    </x:row>
    <x:row r="444">
      <x:c r="G444" s="13"/>
    </x:row>
    <x:row r="445">
      <x:c r="G445" s="13"/>
    </x:row>
    <x:row r="446">
      <x:c r="G446" s="13"/>
    </x:row>
    <x:row r="447">
      <x:c r="G447" s="13"/>
    </x:row>
    <x:row r="448">
      <x:c r="G448" s="13"/>
    </x:row>
    <x:row r="449">
      <x:c r="G449" s="13"/>
    </x:row>
    <x:row r="450">
      <x:c r="G450" s="13"/>
    </x:row>
    <x:row r="451">
      <x:c r="G451" s="13"/>
    </x:row>
    <x:row r="452">
      <x:c r="G452" s="13"/>
    </x:row>
    <x:row r="453">
      <x:c r="G453" s="13"/>
    </x:row>
    <x:row r="454">
      <x:c r="G454" s="13"/>
    </x:row>
    <x:row r="455">
      <x:c r="G455" s="13"/>
    </x:row>
    <x:row r="456">
      <x:c r="G456" s="13"/>
    </x:row>
    <x:row r="457">
      <x:c r="G457" s="13"/>
    </x:row>
    <x:row r="458">
      <x:c r="G458" s="13"/>
    </x:row>
    <x:row r="459">
      <x:c r="G459" s="13"/>
    </x:row>
    <x:row r="460">
      <x:c r="G460" s="13"/>
    </x:row>
    <x:row r="461">
      <x:c r="G461" s="13"/>
    </x:row>
    <x:row r="462">
      <x:c r="G462" s="13"/>
    </x:row>
    <x:row r="463">
      <x:c r="G463" s="13"/>
    </x:row>
    <x:row r="464">
      <x:c r="G464" s="13"/>
    </x:row>
    <x:row r="465">
      <x:c r="G465" s="13"/>
    </x:row>
    <x:row r="466">
      <x:c r="G466" s="13"/>
    </x:row>
    <x:row r="467">
      <x:c r="G467" s="13"/>
    </x:row>
    <x:row r="468">
      <x:c r="G468" s="13"/>
    </x:row>
    <x:row r="469">
      <x:c r="G469" s="13"/>
    </x:row>
    <x:row r="470">
      <x:c r="G470" s="13"/>
    </x:row>
    <x:row r="471">
      <x:c r="G471" s="13"/>
    </x:row>
    <x:row r="472">
      <x:c r="G472" s="13"/>
    </x:row>
    <x:row r="473">
      <x:c r="G473" s="13"/>
    </x:row>
    <x:row r="474">
      <x:c r="G474" s="13"/>
    </x:row>
    <x:row r="475">
      <x:c r="G475" s="13"/>
    </x:row>
    <x:row r="476">
      <x:c r="G476" s="13"/>
    </x:row>
    <x:row r="477">
      <x:c r="G477" s="13"/>
    </x:row>
    <x:row r="478">
      <x:c r="G478" s="13"/>
    </x:row>
    <x:row r="479">
      <x:c r="G479" s="13"/>
    </x:row>
    <x:row r="480">
      <x:c r="G480" s="13"/>
    </x:row>
    <x:row r="481">
      <x:c r="G481" s="13"/>
    </x:row>
    <x:row r="482">
      <x:c r="G482" s="13"/>
    </x:row>
    <x:row r="483">
      <x:c r="G483" s="13"/>
    </x:row>
    <x:row r="484">
      <x:c r="G484" s="13"/>
    </x:row>
    <x:row r="485">
      <x:c r="G485" s="13"/>
    </x:row>
    <x:row r="486">
      <x:c r="G486" s="13"/>
    </x:row>
    <x:row r="487">
      <x:c r="G487" s="13"/>
    </x:row>
    <x:row r="488">
      <x:c r="G488" s="13"/>
    </x:row>
    <x:row r="489">
      <x:c r="G489" s="13"/>
    </x:row>
    <x:row r="490">
      <x:c r="G490" s="13"/>
    </x:row>
    <x:row r="491">
      <x:c r="G491" s="13"/>
    </x:row>
    <x:row r="492">
      <x:c r="G492" s="13"/>
    </x:row>
    <x:row r="493">
      <x:c r="G493" s="13"/>
    </x:row>
    <x:row r="494">
      <x:c r="G494" s="13"/>
    </x:row>
    <x:row r="495">
      <x:c r="G495" s="13"/>
    </x:row>
    <x:row r="496">
      <x:c r="G496" s="13"/>
    </x:row>
    <x:row r="497">
      <x:c r="G497" s="13"/>
    </x:row>
    <x:row r="498">
      <x:c r="G498" s="13"/>
    </x:row>
    <x:row r="499">
      <x:c r="G499" s="13"/>
    </x:row>
    <x:row r="500">
      <x:c r="G500" s="13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75" defaultRowHeight="14.25"/>
  <x:cols>
    <x:col min="1" max="1" width="12" customWidth="1"/>
    <x:col min="2" max="2" width="55" customWidth="1"/>
    <x:col min="3" max="3" width="30" customWidth="1"/>
    <x:col min="4" max="4" width="55" customWidth="1"/>
  </x:cols>
  <x:sheetData>
    <x:row r="1" ht="37.349998474121094" customHeight="1">
      <x:c r="A1" s="71" t="s">
        <x:v>156</x:v>
      </x:c>
      <x:c r="B1" s="71"/>
      <x:c r="C1" s="71"/>
      <x:c r="D1" s="71"/>
    </x:row>
    <x:row r="2">
      <x:c r="A2" s="72" t="s">
        <x:v>157</x:v>
      </x:c>
      <x:c r="B2" s="72"/>
      <x:c r="C2" s="72"/>
      <x:c r="D2" s="72"/>
    </x:row>
    <x:row r="4" ht="15">
      <x:c r="A4" s="5" t="s">
        <x:v>158</x:v>
      </x:c>
      <x:c r="B4" s="5" t="s">
        <x:v>159</x:v>
      </x:c>
      <x:c r="C4" s="5" t="s">
        <x:v>160</x:v>
      </x:c>
      <x:c r="D4" s="5" t="s">
        <x:v>161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57.75">
      <x:c r="A5" s="154"/>
      <x:c r="B5" s="132"/>
      <x:c r="C5" s="132"/>
      <x:c r="D5" s="132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57.75">
      <x:c r="A6" s="154"/>
      <x:c r="B6" s="135"/>
      <x:c r="C6" s="135"/>
      <x:c r="D6" s="135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57.75">
      <x:c r="A7" s="154"/>
      <x:c r="B7" s="132"/>
      <x:c r="C7" s="132"/>
      <x:c r="D7" s="132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57.75">
      <x:c r="A8" s="154"/>
      <x:c r="B8" s="135"/>
      <x:c r="C8" s="135"/>
      <x:c r="D8" s="135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9.25">
      <x:c r="A9" s="153"/>
      <x:c r="B9" s="132"/>
      <x:c r="C9" s="132"/>
      <x:c r="D9" s="132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875" defaultRowHeight="14.25"/>
  <x:cols>
    <x:col min="1" max="1" width="30" customWidth="1"/>
    <x:col min="2" max="2" width="48" customWidth="1"/>
    <x:col min="3" max="3" width="72" customWidth="1"/>
    <x:col min="4" max="4" width="60" customWidth="1"/>
  </x:cols>
  <x:sheetData>
    <x:row r="1" ht="37.349998474121094" customHeight="1">
      <x:c r="A1" s="71" t="s">
        <x:v>162</x:v>
      </x:c>
      <x:c r="B1" s="71"/>
      <x:c r="C1" s="71"/>
      <x:c r="D1" s="71"/>
    </x:row>
    <x:row r="2">
      <x:c r="A2" s="72" t="s">
        <x:v>163</x:v>
      </x:c>
      <x:c r="B2" s="72"/>
      <x:c r="C2" s="72"/>
      <x:c r="D2" s="72"/>
    </x:row>
    <x:row r="4" ht="15">
      <x:c r="A4" s="5" t="s">
        <x:v>6</x:v>
      </x:c>
      <x:c r="B4" s="5" t="s">
        <x:v>164</x:v>
      </x:c>
      <x:c r="C4" s="5" t="s">
        <x:v>11</x:v>
      </x:c>
      <x:c r="D4" s="5" t="s">
        <x:v>165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8.5">
      <x:c r="A5" s="4" t="s">
        <x:v>166</x:v>
      </x:c>
      <x:c r="B5" s="4" t="s">
        <x:v>167</x:v>
      </x:c>
      <x:c r="C5" s="4" t="s">
        <x:v>16</x:v>
      </x:c>
      <x:c r="D5" s="4" t="s">
        <x:v>168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42.75">
      <x:c r="A6" s="4" t="s">
        <x:v>169</x:v>
      </x:c>
      <x:c r="B6" s="4" t="s">
        <x:v>170</x:v>
      </x:c>
      <x:c r="C6" s="4" t="s">
        <x:v>21</x:v>
      </x:c>
      <x:c r="D6" s="4" t="s">
        <x:v>171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8.5">
      <x:c r="A7" s="4" t="s">
        <x:v>172</x:v>
      </x:c>
      <x:c r="B7" s="4" t="s">
        <x:v>173</x:v>
      </x:c>
      <x:c r="C7" s="4" t="s">
        <x:v>24</x:v>
      </x:c>
      <x:c r="D7" s="4" t="s">
        <x:v>174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8.5">
      <x:c r="A8" s="4" t="s">
        <x:v>175</x:v>
      </x:c>
      <x:c r="B8" s="4" t="s">
        <x:v>176</x:v>
      </x:c>
      <x:c r="C8" s="4" t="s">
        <x:v>26</x:v>
      </x:c>
      <x:c r="D8" s="4" t="s">
        <x:v>177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4" t="s">
        <x:v>178</x:v>
      </x:c>
      <x:c r="B9" s="4" t="s">
        <x:v>179</x:v>
      </x:c>
      <x:c r="C9" s="4" t="s">
        <x:v>29</x:v>
      </x:c>
      <x:c r="D9" s="4" t="s">
        <x:v>180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28.5">
      <x:c r="A10" s="4" t="s">
        <x:v>181</x:v>
      </x:c>
      <x:c r="B10" s="4" t="s">
        <x:v>182</x:v>
      </x:c>
      <x:c r="C10" s="4" t="s">
        <x:v>32</x:v>
      </x:c>
      <x:c r="D10" s="4" t="s">
        <x:v>183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4" t="s">
        <x:v>184</x:v>
      </x:c>
      <x:c r="B11" s="4" t="s">
        <x:v>185</x:v>
      </x:c>
      <x:c r="C11" s="4" t="s">
        <x:v>35</x:v>
      </x:c>
      <x:c r="D11" s="4" t="s">
        <x:v>186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28.5">
      <x:c r="A12" s="4" t="s">
        <x:v>187</x:v>
      </x:c>
      <x:c r="B12" s="4" t="s">
        <x:v>188</x:v>
      </x:c>
      <x:c r="C12" s="4" t="s">
        <x:v>39</x:v>
      </x:c>
      <x:c r="D12" s="4" t="s">
        <x:v>189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4" t="s">
        <x:v>190</x:v>
      </x:c>
      <x:c r="B13" s="4" t="s">
        <x:v>191</x:v>
      </x:c>
      <x:c r="C13" s="4" t="s">
        <x:v>192</x:v>
      </x:c>
      <x:c r="D13" s="4" t="s">
        <x:v>193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57">
      <x:c r="A14" s="4" t="s">
        <x:v>194</x:v>
      </x:c>
      <x:c r="B14" s="4" t="s">
        <x:v>195</x:v>
      </x:c>
      <x:c r="C14" s="4" t="s">
        <x:v>43</x:v>
      </x:c>
      <x:c r="D14" s="4" t="s">
        <x:v>196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4" t="s">
        <x:v>197</x:v>
      </x:c>
      <x:c r="B15" s="4" t="s">
        <x:v>198</x:v>
      </x:c>
      <x:c r="C15" s="4" t="s">
        <x:v>47</x:v>
      </x:c>
      <x:c r="D15" s="4" t="s">
        <x:v>199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28.5">
      <x:c r="A16" s="4" t="s">
        <x:v>200</x:v>
      </x:c>
      <x:c r="B16" s="4" t="s">
        <x:v>201</x:v>
      </x:c>
      <x:c r="C16" s="4" t="s">
        <x:v>202</x:v>
      </x:c>
      <x:c r="D16" s="4" t="s">
        <x:v>203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28.5">
      <x:c r="A17" s="4" t="s">
        <x:v>204</x:v>
      </x:c>
      <x:c r="B17" s="4" t="s">
        <x:v>205</x:v>
      </x:c>
      <x:c r="C17" s="4" t="s">
        <x:v>206</x:v>
      </x:c>
      <x:c r="D17" s="4" t="s">
        <x:v>207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28.5">
      <x:c r="A18" s="4" t="s">
        <x:v>208</x:v>
      </x:c>
      <x:c r="B18" s="4" t="s">
        <x:v>209</x:v>
      </x:c>
      <x:c r="C18" s="4" t="s">
        <x:v>210</x:v>
      </x:c>
      <x:c r="D18" s="4" t="s">
        <x:v>211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57">
      <x:c r="A19" s="4" t="s">
        <x:v>212</x:v>
      </x:c>
      <x:c r="B19" s="4" t="s">
        <x:v>213</x:v>
      </x:c>
      <x:c r="C19" s="4" t="s">
        <x:v>214</x:v>
      </x:c>
      <x:c r="D19" s="4" t="s">
        <x:v>215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28.5">
      <x:c r="A20" s="4" t="s">
        <x:v>216</x:v>
      </x:c>
      <x:c r="B20" s="4" t="s">
        <x:v>217</x:v>
      </x:c>
      <x:c r="C20" s="4" t="s">
        <x:v>55</x:v>
      </x:c>
      <x:c r="D20" s="4" t="s">
        <x:v>218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42.75">
      <x:c r="A22" s="4" t="s">
        <x:v>219</x:v>
      </x:c>
      <x:c r="B22" s="4" t="s">
        <x:v>220</x:v>
      </x:c>
      <x:c r="C22" s="4" t="s">
        <x:v>59</x:v>
      </x:c>
      <x:c r="D22" s="4" t="s">
        <x:v>221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875" defaultRowHeight="14.25"/>
  <x:cols>
    <x:col min="1" max="1" width="18" customWidth="1"/>
    <x:col min="2" max="2" width="24" customWidth="1"/>
    <x:col min="3" max="3" width="4" customWidth="1"/>
    <x:col min="4" max="4" width="18" customWidth="1"/>
    <x:col min="5" max="5" width="24" customWidth="1"/>
    <x:col min="6" max="6" width="4" customWidth="1"/>
    <x:col min="7" max="8" width="18" customWidth="1"/>
  </x:cols>
  <x:sheetData>
    <x:row r="1" ht="37.349998474121094" customHeight="1">
      <x:c r="A1" s="71" t="s">
        <x:v>222</x:v>
      </x:c>
      <x:c r="B1" s="71"/>
      <x:c r="C1" s="71"/>
      <x:c r="D1" s="71"/>
      <x:c r="E1" s="71"/>
      <x:c r="F1" s="71"/>
      <x:c r="G1" s="71"/>
      <x:c r="H1" s="71"/>
    </x:row>
    <x:row r="2">
      <x:c r="A2" s="72" t="s">
        <x:v>223</x:v>
      </x:c>
      <x:c r="B2" s="72"/>
      <x:c r="C2" s="72"/>
      <x:c r="D2" s="72"/>
      <x:c r="E2" s="72"/>
      <x:c r="F2" s="72"/>
      <x:c r="G2" s="72"/>
      <x:c r="H2" s="72"/>
    </x:row>
    <x:row r="4" ht="15">
      <x:c r="A4" s="68" t="s">
        <x:v>224</x:v>
      </x:c>
      <x:c r="B4" s="68"/>
      <x:c r="C4" s="68"/>
      <x:c r="D4" s="68"/>
      <x:c r="E4" s="68"/>
      <x:c r="F4" s="68"/>
      <x:c r="G4" s="68"/>
      <x:c r="H4" s="68"/>
    </x:row>
    <x:row r="5" ht="15">
      <x:c r="A5" s="1" t="s">
        <x:v>66</x:v>
      </x:c>
      <x:c r="B5" s="27"/>
      <x:c r="D5" s="1" t="s">
        <x:v>225</x:v>
      </x:c>
      <x:c r="E5"/>
    </x:row>
    <x:row r="6" ht="15">
      <x:c r="A6" s="1" t="s">
        <x:v>226</x:v>
      </x:c>
      <x:c r="B6"/>
      <x:c r="D6" s="1" t="s">
        <x:v>227</x:v>
      </x:c>
      <x:c r="E6"/>
    </x:row>
    <x:row r="7" ht="15">
      <x:c r="A7" s="1" t="s">
        <x:v>153</x:v>
      </x:c>
      <x:c r="B7"/>
      <x:c r="D7" s="1" t="s">
        <x:v>228</x:v>
      </x:c>
      <x:c r="E7"/>
    </x:row>
    <x:row r="8" ht="15">
      <x:c r="A8" s="1" t="s">
        <x:v>72</x:v>
      </x:c>
      <x:c r="B8"/>
      <x:c r="D8" s="1" t="s">
        <x:v>79</x:v>
      </x:c>
      <x:c r="E8" s="27"/>
    </x:row>
    <x:row r="9" ht="15">
      <x:c r="A9" s="1" t="s">
        <x:v>75</x:v>
      </x:c>
      <x:c r="B9"/>
      <x:c r="D9" s="1" t="s">
        <x:v>229</x:v>
      </x:c>
      <x:c r="E9" s="59"/>
    </x:row>
    <x:row r="10" ht="15">
      <x:c r="A10" s="1" t="s">
        <x:v>76</x:v>
      </x:c>
      <x:c r="B10"/>
      <x:c r="D10" s="1" t="s">
        <x:v>230</x:v>
      </x:c>
      <x:c r="E10"/>
    </x:row>
    <x:row r="11" ht="15">
      <x:c r="A11" s="1" t="s">
        <x:v>88</x:v>
      </x:c>
      <x:c r="B11" s="8"/>
      <x:c r="D11" s="1" t="s">
        <x:v>49</x:v>
      </x:c>
      <x:c r="E11"/>
    </x:row>
    <x:row r="12" ht="15">
      <x:c r="A12" s="1" t="s">
        <x:v>87</x:v>
      </x:c>
      <x:c r="B12" s="8"/>
      <x:c r="D12" s="1" t="s">
        <x:v>231</x:v>
      </x:c>
      <x:c r="E12" s="67"/>
    </x:row>
    <x:row r="13" ht="15">
      <x:c r="A13" s="80" t="s">
        <x:v>232</x:v>
      </x:c>
      <x:c r="B13" s="80"/>
      <x:c r="C13" s="80"/>
      <x:c r="D13" s="80"/>
      <x:c r="E13" s="80"/>
      <x:c r="F13" s="80"/>
      <x:c r="G13" s="80"/>
      <x:c r="H13" s="80"/>
    </x:row>
    <x:row r="14">
      <x:c r="A14" s="79"/>
      <x:c r="B14" s="79"/>
      <x:c r="C14" s="79"/>
      <x:c r="D14" s="79"/>
      <x:c r="E14" s="79"/>
      <x:c r="F14" s="79"/>
      <x:c r="G14" s="79"/>
      <x:c r="H14" s="79"/>
    </x:row>
    <x:row r="15">
      <x:c r="A15" s="79"/>
      <x:c r="B15" s="79"/>
      <x:c r="C15" s="79"/>
      <x:c r="D15" s="79"/>
      <x:c r="E15" s="79"/>
      <x:c r="F15" s="79"/>
      <x:c r="G15" s="79"/>
      <x:c r="H15" s="79"/>
    </x:row>
    <x:row r="16">
      <x:c r="A16" s="79"/>
      <x:c r="B16" s="79"/>
      <x:c r="C16" s="79"/>
      <x:c r="D16" s="79"/>
      <x:c r="E16" s="79"/>
      <x:c r="F16" s="79"/>
      <x:c r="G16" s="79"/>
      <x:c r="H16" s="79"/>
    </x:row>
    <x:row r="17">
      <x:c r="A17" s="79"/>
      <x:c r="B17" s="79"/>
      <x:c r="C17" s="79"/>
      <x:c r="D17" s="79"/>
      <x:c r="E17" s="79"/>
      <x:c r="F17" s="79"/>
      <x:c r="G17" s="79"/>
      <x:c r="H17" s="79"/>
    </x:row>
    <x:row r="18">
      <x:c r="A18" s="79"/>
      <x:c r="B18" s="79"/>
      <x:c r="C18" s="79"/>
      <x:c r="D18" s="79"/>
      <x:c r="E18" s="79"/>
      <x:c r="F18" s="79"/>
      <x:c r="G18" s="79"/>
      <x:c r="H18" s="79"/>
    </x:row>
    <x:row r="19">
      <x:c r="A19" s="79"/>
      <x:c r="B19" s="79"/>
      <x:c r="C19" s="79"/>
      <x:c r="D19" s="79"/>
      <x:c r="E19" s="79"/>
      <x:c r="F19" s="79"/>
      <x:c r="G19" s="79"/>
      <x:c r="H19" s="79"/>
    </x:row>
    <x:row r="20">
      <x:c r="A20" s="79"/>
      <x:c r="B20" s="79"/>
      <x:c r="C20" s="79"/>
      <x:c r="D20" s="79"/>
      <x:c r="E20" s="79"/>
      <x:c r="F20" s="79"/>
      <x:c r="G20" s="79"/>
      <x:c r="H20" s="79"/>
    </x:row>
    <x:row r="21">
      <x:c r="A21" s="79"/>
      <x:c r="B21" s="79"/>
      <x:c r="C21" s="79"/>
      <x:c r="D21" s="79"/>
      <x:c r="E21" s="79"/>
      <x:c r="F21" s="79"/>
      <x:c r="G21" s="79"/>
      <x:c r="H21" s="79"/>
    </x:row>
    <x:row r="23" ht="15">
      <x:c r="A23" s="78" t="s">
        <x:v>233</x:v>
      </x:c>
      <x:c r="B23" s="78"/>
      <x:c r="C23" s="78"/>
      <x:c r="D23" s="78"/>
      <x:c r="E23" s="78"/>
      <x:c r="F23" s="78"/>
      <x:c r="G23" s="78"/>
      <x:c r="H23" s="78"/>
    </x:row>
    <x:row r="24" ht="72" customHeight="1">
      <x:c r="A24" s="79" t="s">
        <x:v>234</x:v>
      </x:c>
      <x:c r="B24" s="79"/>
      <x:c r="C24" s="79"/>
      <x:c r="D24" s="79"/>
      <x:c r="E24" s="79"/>
      <x:c r="F24" s="79"/>
      <x:c r="G24" s="79"/>
      <x:c r="H24" s="79"/>
    </x:row>
    <x:row r="25">
      <x:c r="A25" s="79"/>
      <x:c r="B25" s="79"/>
      <x:c r="C25" s="79"/>
      <x:c r="D25" s="79"/>
      <x:c r="E25" s="79"/>
      <x:c r="F25" s="79"/>
      <x:c r="G25" s="79"/>
      <x:c r="H25" s="79"/>
    </x:row>
    <x:row r="26">
      <x:c r="A26" s="79"/>
      <x:c r="B26" s="79"/>
      <x:c r="C26" s="79"/>
      <x:c r="D26" s="79"/>
      <x:c r="E26" s="79"/>
      <x:c r="F26" s="79"/>
      <x:c r="G26" s="79"/>
      <x:c r="H26" s="79"/>
    </x:row>
    <x:row r="27">
      <x:c r="A27" s="79"/>
      <x:c r="B27" s="79"/>
      <x:c r="C27" s="79"/>
      <x:c r="D27" s="79"/>
      <x:c r="E27" s="79"/>
      <x:c r="F27" s="79"/>
      <x:c r="G27" s="79"/>
      <x:c r="H27" s="79"/>
    </x:row>
    <x:row r="28">
      <x:c r="A28" s="79"/>
      <x:c r="B28" s="79"/>
      <x:c r="C28" s="79"/>
      <x:c r="D28" s="79"/>
      <x:c r="E28" s="79"/>
      <x:c r="F28" s="79"/>
      <x:c r="G28" s="79"/>
      <x:c r="H28" s="79"/>
    </x:row>
    <x:row r="29">
      <x:c r="A29" s="79"/>
      <x:c r="B29" s="79"/>
      <x:c r="C29" s="79"/>
      <x:c r="D29" s="79"/>
      <x:c r="E29" s="79"/>
      <x:c r="F29" s="79"/>
      <x:c r="G29" s="79"/>
      <x:c r="H29" s="79"/>
    </x:row>
    <x:row r="30">
      <x:c r="A30" s="79"/>
      <x:c r="B30" s="79"/>
      <x:c r="C30" s="79"/>
      <x:c r="D30" s="79"/>
      <x:c r="E30" s="79"/>
      <x:c r="F30" s="79"/>
      <x:c r="G30" s="79"/>
      <x:c r="H30" s="79"/>
    </x:row>
    <x:row r="31">
      <x:c r="A31" s="79"/>
      <x:c r="B31" s="79"/>
      <x:c r="C31" s="79"/>
      <x:c r="D31" s="79"/>
      <x:c r="E31" s="79"/>
      <x:c r="F31" s="79"/>
      <x:c r="G31" s="79"/>
      <x:c r="H31" s="79"/>
    </x:row>
  </x:sheetData>
  <x:mergeCells>
    <x:mergeCell ref="A23:H23"/>
    <x:mergeCell ref="A24:H31"/>
    <x:mergeCell ref="A1:H1"/>
    <x:mergeCell ref="A2:H2"/>
    <x:mergeCell ref="A4:H4"/>
    <x:mergeCell ref="A13:H13"/>
    <x:mergeCell ref="A14:H2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8.875" defaultRowHeight="14.25"/>
  <x:cols>
    <x:col min="1" max="1" width="28" customWidth="1"/>
    <x:col min="2" max="2" width="70" customWidth="1"/>
    <x:col min="3" max="4" width="44" customWidth="1"/>
  </x:cols>
  <x:sheetData>
    <x:row r="1" ht="37.349998474121094" customHeight="1">
      <x:c r="A1" s="71" t="s">
        <x:v>235</x:v>
      </x:c>
      <x:c r="B1" s="71"/>
      <x:c r="C1" s="71"/>
      <x:c r="D1" s="71"/>
    </x:row>
    <x:row r="2">
      <x:c r="A2" s="72" t="s">
        <x:v>236</x:v>
      </x:c>
      <x:c r="B2" s="72"/>
      <x:c r="C2" s="72"/>
      <x:c r="D2" s="72"/>
    </x:row>
    <x:row r="4" ht="15">
      <x:c r="A4" s="5" t="s">
        <x:v>237</x:v>
      </x:c>
      <x:c r="B4" s="5" t="s">
        <x:v>64</x:v>
      </x:c>
      <x:c r="C4" s="5" t="s">
        <x:v>164</x:v>
      </x:c>
      <x:c r="D4" s="5" t="s">
        <x:v>238</x:v>
      </x:c>
    </x:row>
    <x:row r="5">
      <x:c r="A5" s="4" t="s">
        <x:v>239</x:v>
      </x:c>
      <x:c r="B5" s="4">
        <x:v>30000</x:v>
      </x:c>
      <x:c r="C5" s="4" t="s">
        <x:v>240</x:v>
      </x:c>
      <x:c r="D5" s="4" t="s">
        <x:v>241</x:v>
      </x:c>
    </x:row>
    <x:row r="6">
      <x:c r="A6" s="4" t="s">
        <x:v>242</x:v>
      </x:c>
      <x:c r="B6" s="4">
        <x:v>8</x:v>
      </x:c>
      <x:c r="C6" s="4" t="s">
        <x:v>243</x:v>
      </x:c>
      <x:c r="D6" s="4"/>
    </x:row>
    <x:row r="7">
      <x:c r="A7" s="4" t="s">
        <x:v>244</x:v>
      </x:c>
      <x:c r="B7" s="4">
        <x:v>20</x:v>
      </x:c>
      <x:c r="C7" s="4" t="s">
        <x:v>245</x:v>
      </x:c>
      <x:c r="D7" s="4"/>
    </x:row>
    <x:row r="8">
      <x:c r="A8" s="4" t="s">
        <x:v>246</x:v>
      </x:c>
      <x:c r="B8" s="4">
        <x:v>30</x:v>
      </x:c>
      <x:c r="C8" s="4" t="s">
        <x:v>247</x:v>
      </x:c>
      <x:c r="D8" s="4"/>
    </x:row>
    <x:row r="9">
      <x:c r="A9" s="4" t="s">
        <x:v>248</x:v>
      </x:c>
      <x:c r="B9" s="4">
        <x:v>30</x:v>
      </x:c>
      <x:c r="C9" s="4" t="s">
        <x:v>249</x:v>
      </x:c>
      <x:c r="D9" s="4"/>
    </x:row>
    <x:row r="10">
      <x:c r="A10" s="4" t="s">
        <x:v>250</x:v>
      </x:c>
      <x:c r="B10" s="4">
        <x:v>50</x:v>
      </x:c>
      <x:c r="C10" s="4" t="s">
        <x:v>251</x:v>
      </x:c>
      <x:c r="D10" s="4"/>
    </x:row>
    <x:row r="11" ht="28.5">
      <x:c r="A11" s="4" t="s">
        <x:v>252</x:v>
      </x:c>
      <x:c r="B11" s="4" t="s">
        <x:v>39</x:v>
      </x:c>
      <x:c r="C11" s="4" t="s">
        <x:v>253</x:v>
      </x:c>
      <x:c r="D11" s="4" t="s">
        <x:v>254</x:v>
      </x:c>
    </x:row>
    <x:row r="12">
      <x:c r="A12" s="4" t="s">
        <x:v>255</x:v>
      </x:c>
      <x:c r="B12" s="4" t="s">
        <x:v>192</x:v>
      </x:c>
      <x:c r="C12" s="4" t="s">
        <x:v>256</x:v>
      </x:c>
      <x:c r="D12" s="4" t="s">
        <x:v>257</x:v>
      </x:c>
    </x:row>
    <x:row r="13">
      <x:c r="A13" s="4" t="s">
        <x:v>258</x:v>
      </x:c>
      <x:c r="B13" s="4" t="s">
        <x:v>47</x:v>
      </x:c>
      <x:c r="C13" s="4" t="s">
        <x:v>259</x:v>
      </x:c>
      <x:c r="D13" s="4" t="s">
        <x:v>260</x:v>
      </x:c>
    </x:row>
    <x:row r="14">
      <x:c r="A14" s="4" t="s">
        <x:v>261</x:v>
      </x:c>
      <x:c r="B14" s="4" t="s">
        <x:v>202</x:v>
      </x:c>
      <x:c r="C14" s="4" t="s">
        <x:v>262</x:v>
      </x:c>
      <x:c r="D14" s="4" t="s">
        <x:v>263</x:v>
      </x:c>
    </x:row>
    <x:row r="15" ht="42.75">
      <x:c r="A15" s="4" t="s">
        <x:v>264</x:v>
      </x:c>
      <x:c r="B15" s="4" t="s">
        <x:v>51</x:v>
      </x:c>
      <x:c r="C15" s="4" t="s">
        <x:v>265</x:v>
      </x:c>
      <x:c r="D15" s="4" t="s">
        <x:v>266</x:v>
      </x:c>
    </x:row>
    <x:row r="16" ht="28.5">
      <x:c r="A16" s="4" t="s">
        <x:v>267</x:v>
      </x:c>
      <x:c r="B16" s="4" t="s">
        <x:v>268</x:v>
      </x:c>
      <x:c r="C16" s="4" t="s">
        <x:v>269</x:v>
      </x:c>
      <x:c r="D16" s="4" t="s">
        <x:v>270</x:v>
      </x:c>
    </x:row>
    <x:row r="17">
      <x:c r="A17" s="4" t="s">
        <x:v>271</x:v>
      </x:c>
      <x:c r="B17" s="4"/>
      <x:c r="C17" s="4" t="s">
        <x:v>272</x:v>
      </x:c>
      <x:c r="D17" s="4" t="s">
        <x:v>273</x:v>
      </x:c>
    </x:row>
    <x:row r="18">
      <x:c r="A18" s="4" t="s">
        <x:v>274</x:v>
      </x:c>
      <x:c r="B18" s="4" t="s">
        <x:v>275</x:v>
      </x:c>
      <x:c r="C18" s="4" t="s">
        <x:v>276</x:v>
      </x:c>
      <x:c r="D18" s="4" t="s">
        <x:v>277</x:v>
      </x:c>
    </x:row>
    <x:row r="19" ht="28.5">
      <x:c r="A19" s="4" t="s">
        <x:v>278</x:v>
      </x:c>
      <x:c r="B19" s="4" t="s">
        <x:v>279</x:v>
      </x:c>
      <x:c r="C19" s="4" t="s">
        <x:v>53</x:v>
      </x:c>
      <x:c r="D19" s="4" t="s">
        <x:v>280</x:v>
      </x:c>
    </x:row>
    <x:row r="20" ht="28.5">
      <x:c r="A20" s="4" t="s">
        <x:v>281</x:v>
      </x:c>
      <x:c r="B20" s="4" t="s">
        <x:v>282</x:v>
      </x:c>
      <x:c r="C20" s="4" t="s">
        <x:v>53</x:v>
      </x:c>
      <x:c r="D20" s="4" t="s">
        <x:v>283</x:v>
      </x:c>
    </x:row>
    <x:row r="21">
      <x:c r="A21" t="s">
        <x:v>284</x:v>
      </x:c>
      <x:c r="B21" t="s">
        <x:v>285</x:v>
      </x:c>
      <x:c r="C21" t="s">
        <x:v>285</x:v>
      </x:c>
      <x:c r="D21" t="s">
        <x:v>286</x:v>
      </x:c>
    </x:row>
    <x:row r="22">
      <x:c r="A22" t="s">
        <x:v>287</x:v>
      </x:c>
      <x:c r="B22" t="s">
        <x:v>288</x:v>
      </x:c>
      <x:c r="C22" t="s">
        <x:v>289</x:v>
      </x:c>
      <x:c r="D22" t="s">
        <x:v>290</x:v>
      </x:c>
    </x:row>
    <x:row r="23">
      <x:c r="A23" t="s">
        <x:v>291</x:v>
      </x:c>
      <x:c r="B23" t="s">
        <x:v>275</x:v>
      </x:c>
      <x:c r="C23" t="s">
        <x:v>276</x:v>
      </x:c>
      <x:c r="D23" t="s">
        <x:v>292</x:v>
      </x:c>
    </x:row>
    <x:row r="24">
      <x:c r="A24" t="s">
        <x:v>293</x:v>
      </x:c>
      <x:c r="B24" t="s">
        <x:v>294</x:v>
      </x:c>
      <x:c r="C24" t="s">
        <x:v>276</x:v>
      </x:c>
      <x:c r="D24" t="s">
        <x:v>295</x:v>
      </x:c>
    </x:row>
    <x:row r="25">
      <x:c r="A25" t="s">
        <x:v>296</x:v>
      </x:c>
      <x:c r="B25" t="s">
        <x:v>285</x:v>
      </x:c>
      <x:c r="C25" t="s">
        <x:v>285</x:v>
      </x:c>
      <x:c r="D25" t="s">
        <x:v>297</x:v>
      </x:c>
    </x:row>
    <x:row r="26">
      <x:c r="A26" s="449" t="str">
        <x:v>Latest Final Equalizer Year</x:v>
      </x:c>
      <x:c r="B26" s="451" t="n">
        <x:v>2025</x:v>
      </x:c>
      <x:c r="C26" s="448" t="str">
        <x:v>Most recent final Cook County state equalization factor year</x:v>
      </x:c>
      <x:c r="D26" s="448" t="str">
        <x:v>https://tax.illinois.gov/research/news/2025-cook-multiplier-news.html</x:v>
      </x:c>
    </x:row>
    <x:row r="27">
      <x:c r="A27" s="449" t="str">
        <x:v>2025 Cook County Equalizer</x:v>
      </x:c>
      <x:c r="B27" s="453" t="n">
        <x:v>3.03</x:v>
      </x:c>
      <x:c r="C27" s="448" t="str">
        <x:v>Final 2025 state equalization factor</x:v>
      </x:c>
      <x:c r="D27" s="448" t="str">
        <x:v>https://tax.illinois.gov/research/news/2025-cook-multiplier-news.html</x:v>
      </x:c>
    </x:row>
    <x:row r="28">
      <x:c r="A28" s="449" t="str">
        <x:v>Prior Equalizer Year</x:v>
      </x:c>
      <x:c r="B28" s="451" t="n">
        <x:v>2024</x:v>
      </x:c>
      <x:c r="C28" s="448" t="str">
        <x:v>Fallback when the Portal has no 2025 tax rate</x:v>
      </x:c>
      <x:c r="D28" s="448" t="str">
        <x:v>https://tax.illinois.gov/research/news/2024-cook-county-final-multiplier.html</x:v>
      </x:c>
    </x:row>
    <x:row r="29">
      <x:c r="A29" s="449" t="str">
        <x:v>2024 Cook County Equalizer</x:v>
      </x:c>
      <x:c r="B29" s="453" t="n">
        <x:v>3.0355</x:v>
      </x:c>
      <x:c r="C29" s="448" t="str">
        <x:v>Final 2024 state equalization factor</x:v>
      </x:c>
      <x:c r="D29" s="448" t="str">
        <x:v>https://tax.illinois.gov/research/news/2024-cook-county-final-multiplier.html</x:v>
      </x:c>
    </x:row>
    <x:row r="30">
      <x:c r="A30" s="449" t="str">
        <x:v>Assessment Level Override (%)</x:v>
      </x:c>
      <x:c r="B30" s="451"/>
      <x:c r="C30" s="448" t="str">
        <x:v>Optional for incentive/special classes; blank uses standard Class 1/2/3=10%, Class 4=20%, Class 5=25%</x:v>
      </x:c>
      <x:c r="D30" s="448" t="str">
        <x:v>Enter current assessment level only when the class is not a standard 1–5 class.</x:v>
      </x:c>
    </x:row>
    <x:row r="31">
      <x:c r="A31" s="455" t="str">
        <x:v>Tax Estimate Method</x:v>
      </x:c>
      <x:c r="B31" s="456" t="str">
        <x:v>Gross before exemptions</x:v>
      </x:c>
      <x:c r="C31" s="457" t="str">
        <x:v>Current AV × same-year equalizer × same-year composite tax rate</x:v>
      </x:c>
      <x:c r="D31" s="457" t="str">
        <x:v>Actual tax bill can differ due to exemptions, tax-code changes, collections, and later-year inputs.</x:v>
      </x:c>
    </x:row>
  </x:sheetData>
  <x:mergeCells>
    <x:mergeCell ref="A1:D1"/>
    <x:mergeCell ref="A2:D2"/>
  </x:mergeCells>
  <x:dataValidations count="1">
    <x:dataValidation type="list" sqref="B15 B17:B18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8.875" defaultRowHeight="14.25"/>
  <x:cols>
    <x:col min="1" max="1" width="22" customWidth="1"/>
    <x:col min="2" max="2" width="30" customWidth="1"/>
    <x:col min="3" max="3" width="16" customWidth="1"/>
    <x:col min="4" max="4" width="56" customWidth="1"/>
  </x:cols>
  <x:sheetData>
    <x:row r="1" ht="37.349998474121094" customHeight="1">
      <x:c r="A1" s="81" t="s">
        <x:v>298</x:v>
      </x:c>
      <x:c r="B1" s="81"/>
      <x:c r="C1" s="81"/>
      <x:c r="D1" s="81"/>
    </x:row>
    <x:row r="2">
      <x:c r="A2" s="72" t="s">
        <x:v>299</x:v>
      </x:c>
      <x:c r="B2" s="72"/>
      <x:c r="C2" s="72"/>
      <x:c r="D2" s="72"/>
    </x:row>
    <x:row r="4" ht="15">
      <x:c r="A4" s="7" t="s">
        <x:v>121</x:v>
      </x:c>
      <x:c r="B4" s="7" t="s">
        <x:v>300</x:v>
      </x:c>
      <x:c r="C4" s="7" t="s">
        <x:v>301</x:v>
      </x:c>
      <x:c r="D4" s="7" t="s">
        <x:v>115</x:v>
      </x:c>
    </x:row>
    <x:row r="5">
      <x:c r="A5" s="146"/>
      <x:c r="B5" s="147"/>
      <x:c r="C5" s="148"/>
      <x:c r="D5" s="147"/>
    </x:row>
    <x:row r="6">
      <x:c r="A6" s="149"/>
      <x:c r="B6" s="150"/>
      <x:c r="C6" s="151"/>
      <x:c r="D6" s="150"/>
    </x:row>
    <x:row r="7">
      <x:c r="A7" s="146"/>
      <x:c r="B7" s="147"/>
      <x:c r="C7" s="148"/>
      <x:c r="D7" s="147"/>
    </x:row>
    <x:row r="8">
      <x:c r="A8" s="149"/>
      <x:c r="B8" s="150"/>
      <x:c r="C8" s="151"/>
      <x:c r="D8" s="150"/>
    </x:row>
    <x:row r="9">
      <x:c r="A9" s="146"/>
      <x:c r="B9" s="147"/>
      <x:c r="C9" s="148"/>
      <x:c r="D9" s="147"/>
    </x:row>
    <x:row r="10">
      <x:c r="A10" s="27"/>
    </x:row>
    <x:row r="11">
      <x:c r="A11" s="27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8.875" defaultRowHeight="14.25"/>
  <x:cols>
    <x:col min="1" max="1" width="22" customWidth="1"/>
    <x:col min="2" max="2" width="92" customWidth="1"/>
    <x:col min="3" max="6" width="10" customWidth="1"/>
  </x:cols>
  <x:sheetData>
    <x:row r="1" ht="37.349998474121094" customHeight="1">
      <x:c r="A1" s="22" t="str">
        <x:v>COOK COUNTY PROPERTY DUE DILIGENCE v1.2.8b — WINDOWS COMPLETE PACKAGE</x:v>
      </x:c>
      <x:c r="B1" s="22"/>
      <x:c r="C1" s="15"/>
      <x:c r="D1" s="15"/>
      <x:c r="E1" s="15"/>
      <x:c r="F1" s="15"/>
    </x:row>
    <x:row r="3" ht="15">
      <x:c r="A3" s="1179" t="str">
        <x:v>Step</x:v>
      </x:c>
      <x:c r="B3" s="1179" t="str">
        <x:v>Instruction</x:v>
      </x:c>
      <x:c r="C3" s="16"/>
      <x:c r="D3" s="16"/>
      <x:c r="E3" s="16"/>
      <x:c r="F3" s="16"/>
    </x:row>
    <x:row r="4" ht="15">
      <x:c r="A4" s="1178" t="str">
        <x:v>1</x:v>
      </x:c>
      <x:c r="B4" s="448" t="str">
        <x:v>Open this fresh .xlsx and immediately Save As an Excel Macro-Enabled Workbook (.xlsm).</x:v>
      </x:c>
    </x:row>
    <x:row r="5" ht="15">
      <x:c r="A5" s="1178" t="str">
        <x:v>2</x:v>
      </x:c>
      <x:c r="B5" s="448" t="str">
        <x:v>Press Alt+F11. In the VBA editor choose File &gt; Import File and import CookPropertyDueDiligence_v1_2_8b_WINDOWS_COMPLETE_MERGE_SAFE.bas.</x:v>
      </x:c>
    </x:row>
    <x:row r="6" ht="15">
      <x:c r="A6" s="1178" t="str">
        <x:v>3</x:v>
      </x:c>
      <x:c r="B6" s="448" t="str">
        <x:v>Choose Debug &gt; Compile VBAProject. Close the editor, then press Alt+F8 and run SetupCookDueDiligence_v128Windows once.</x:v>
      </x:c>
    </x:row>
    <x:row r="7" ht="15">
      <x:c r="A7" s="1178" t="str">
        <x:v>4</x:v>
      </x:c>
      <x:c r="B7" s="448" t="str">
        <x:v>Close the VBA editor. Press Alt+F8 and run SetupCookDueDiligence_v128Windows once.</x:v>
      </x:c>
    </x:row>
    <x:row r="8" ht="15">
      <x:c r="A8" s="1178" t="str">
        <x:v>5</x:v>
      </x:c>
      <x:c r="B8" s="448" t="str">
        <x:v>Return to Start. Enter a Cook County PIN in the yellow field and click the blue RUN PROPERTY RESEARCH button.</x:v>
      </x:c>
    </x:row>
    <x:row r="9" ht="15">
      <x:c r="A9" s="1178" t="str">
        <x:v>6</x:v>
      </x:c>
      <x:c r="B9" s="448" t="str">
        <x:v>PDFs save to Downloads and remain closed after export.</x:v>
      </x:c>
    </x:row>
    <x:row r="10" ht="15">
      <x:c r="A10" s="1177" t="str">
        <x:v>Treasurer</x:v>
      </x:c>
      <x:c r="B10" s="1177" t="str">
        <x:v>The Windows build intentionally treats Cook County Treasurer as an optional manual cross-check. The Property Tax Portal remains the automatic tax-detail source.</x:v>
      </x:c>
      <x:c r="C10" s="16"/>
      <x:c r="D10" s="16"/>
      <x:c r="E10" s="16"/>
      <x:c r="F10" s="16"/>
    </x:row>
    <x:row r="11" ht="15">
      <x:c r="A11" s="1177" t="str">
        <x:v>Tax Estimate</x:v>
      </x:c>
      <x:c r="B11" s="1177" t="str">
        <x:v>v1.2.8b uses a merge-safe reset helper so broad reset ranges cannot fail merely because a presentation cell is merged.</x:v>
      </x:c>
    </x:row>
    <x:row r="12" ht="15">
      <x:c r="A12" s="1178" t="str">
        <x:v>Estimate Caveat</x:v>
      </x:c>
      <x:c r="B12" s="448" t="str">
        <x:v>Estimated Gross Taxes are before exemptions. Estimated Market Value uses the standard class assessment level or the optional Config override.</x:v>
      </x:c>
    </x:row>
    <x:row r="13" ht="15">
      <x:c r="A13" s="1" t="s">
        <x:v>302</x:v>
      </x:c>
      <x:c r="B13" t="s">
        <x:v>303</x:v>
      </x:c>
    </x:row>
    <x:row r="14" ht="15">
      <x:c r="A14" s="1" t="s">
        <x:v>304</x:v>
      </x:c>
      <x:c r="B14" t="s">
        <x:v>305</x:v>
      </x:c>
    </x:row>
    <x:row r="15" ht="15">
      <x:c r="A15" s="1" t="s">
        <x:v>306</x:v>
      </x:c>
      <x:c r="B15" t="s">
        <x:v>307</x:v>
      </x:c>
    </x:row>
    <x:row r="16" ht="15">
      <x:c r="A16" s="1" t="s">
        <x:v>308</x:v>
      </x:c>
      <x:c r="B16" t="s">
        <x:v>309</x:v>
      </x:c>
    </x:row>
    <x:row r="17" ht="15">
      <x:c r="A17" s="6"/>
      <x:c r="B17" s="17"/>
      <x:c r="C17" s="17"/>
      <x:c r="D17" s="17"/>
      <x:c r="E17" s="17"/>
      <x:c r="F17" s="17"/>
    </x:row>
    <x:row r="18" ht="15">
      <x:c r="A18" s="24" t="s">
        <x:v>310</x:v>
      </x:c>
      <x:c r="B18" s="24"/>
    </x:row>
    <x:row r="19" ht="15">
      <x:c r="A19" s="1" t="s">
        <x:v>311</x:v>
      </x:c>
      <x:c r="B19" t="s">
        <x:v>312</x:v>
      </x:c>
    </x:row>
    <x:row r="20" ht="15">
      <x:c r="A20" s="1" t="s">
        <x:v>311</x:v>
      </x:c>
      <x:c r="B20" t="s">
        <x:v>313</x:v>
      </x:c>
    </x:row>
    <x:row r="21" ht="15">
      <x:c r="A21" s="1" t="s">
        <x:v>311</x:v>
      </x:c>
      <x:c r="B21" t="s">
        <x:v>314</x:v>
      </x:c>
    </x:row>
    <x:row r="22" ht="15">
      <x:c r="A22" s="1" t="s">
        <x:v>311</x:v>
      </x:c>
      <x:c r="B22" t="s">
        <x:v>315</x:v>
      </x:c>
    </x:row>
    <x:row r="23" ht="15">
      <x:c r="A23" s="1"/>
    </x:row>
    <x:row r="24" ht="15">
      <x:c r="A24" s="25" t="s">
        <x:v>316</x:v>
      </x:c>
      <x:c r="B24" s="25"/>
      <x:c r="C24" s="18"/>
      <x:c r="D24" s="18"/>
      <x:c r="E24" s="18"/>
      <x:c r="F24" s="18"/>
    </x:row>
    <x:row r="25" ht="15">
      <x:c r="A25" s="19" t="s">
        <x:v>317</x:v>
      </x:c>
      <x:c r="B25" s="21" t="s">
        <x:v>318</x:v>
      </x:c>
      <x:c r="C25" s="21"/>
      <x:c r="D25" s="21"/>
      <x:c r="E25" s="21"/>
      <x:c r="F25" s="21"/>
    </x:row>
    <x:row r="26" ht="15">
      <x:c r="A26" s="1" t="s">
        <x:v>319</x:v>
      </x:c>
      <x:c r="B26" t="s">
        <x:v>320</x:v>
      </x:c>
    </x:row>
    <x:row r="27" ht="15">
      <x:c r="A27" s="1" t="s">
        <x:v>321</x:v>
      </x:c>
      <x:c r="B27" t="s">
        <x:v>322</x:v>
      </x:c>
    </x:row>
    <x:row r="28" ht="15">
      <x:c r="A28" s="1" t="s">
        <x:v>323</x:v>
      </x:c>
      <x:c r="B28" t="s">
        <x:v>324</x:v>
      </x:c>
    </x:row>
    <x:row r="29" ht="15">
      <x:c r="A29" s="1" t="s">
        <x:v>325</x:v>
      </x:c>
      <x:c r="B29" t="s">
        <x:v>326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8.875" defaultRowHeight="13.5"/>
  <x:cols>
    <x:col min="1" max="1" width="26.875" style="40" customWidth="1"/>
    <x:col min="2" max="4" width="18.875" style="40" customWidth="1"/>
    <x:col min="5" max="5" width="22.875" style="40" customWidth="1"/>
    <x:col min="6" max="6" width="24.875" style="40" customWidth="1"/>
    <x:col min="7" max="7" width="25.875" style="40" customWidth="1"/>
    <x:col min="8" max="8" width="40.875" style="40" customWidth="1"/>
    <x:col min="9" max="9" width="21" style="40" customWidth="1"/>
    <x:col min="10" max="10" width="27" style="40" customWidth="1"/>
    <x:col min="11" max="16384" width="8.875" style="40" customWidth="0"/>
  </x:cols>
  <x:sheetData>
    <x:row r="1" ht="30" customHeight="1">
      <x:c r="A1" s="43" t="s">
        <x:v>327</x:v>
      </x:c>
      <x:c r="B1" s="42"/>
      <x:c r="C1" s="42"/>
      <x:c r="D1" s="42"/>
      <x:c r="E1" s="42"/>
      <x:c r="F1" s="42"/>
      <x:c r="G1" s="42"/>
      <x:c r="H1" s="42"/>
    </x:row>
    <x:row r="2" ht="24" customHeight="1">
      <x:c r="A2" s="44" t="str">
        <x:v>Property Tax Portal history + current assessment / estimated-tax analysis; Treasurer is an optional manual cross-check</x:v>
      </x:c>
      <x:c r="B2" s="44"/>
      <x:c r="C2" s="44"/>
      <x:c r="D2" s="44"/>
      <x:c r="E2" s="44"/>
      <x:c r="F2" s="44"/>
      <x:c r="G2" s="44"/>
      <x:c r="H2" s="44"/>
    </x:row>
    <x:row r="3">
      <x:c r="A3" s="41"/>
      <x:c r="B3" s="41"/>
      <x:c r="C3" s="41"/>
      <x:c r="D3" s="41"/>
      <x:c r="E3" s="41"/>
      <x:c r="F3" s="41"/>
      <x:c r="G3" s="41"/>
      <x:c r="H3" s="41"/>
    </x:row>
    <x:row r="4" ht="36" customHeight="1">
      <x:c r="A4" s="45" t="s">
        <x:v>328</x:v>
      </x:c>
      <x:c r="B4" s="46"/>
      <x:c r="C4" s="45" t="s">
        <x:v>329</x:v>
      </x:c>
      <x:c r="D4" s="47"/>
      <x:c r="E4" s="45" t="s">
        <x:v>330</x:v>
      </x:c>
      <x:c r="F4" s="60"/>
      <x:c r="G4" s="45" t="s">
        <x:v>331</x:v>
      </x:c>
      <x:c r="H4" s="45"/>
    </x:row>
    <x:row r="5">
      <x:c r="A5" s="41"/>
      <x:c r="B5" s="41"/>
      <x:c r="C5" s="41"/>
      <x:c r="D5" s="41"/>
      <x:c r="E5" s="41"/>
      <x:c r="F5" s="41"/>
      <x:c r="G5" s="41"/>
      <x:c r="H5" s="41"/>
    </x:row>
    <x:row r="6">
      <x:c r="A6" s="41"/>
      <x:c r="B6" s="41"/>
      <x:c r="C6" s="41"/>
      <x:c r="D6" s="41"/>
      <x:c r="E6" s="41"/>
      <x:c r="F6" s="41"/>
      <x:c r="G6" s="41"/>
      <x:c r="H6" s="41"/>
    </x:row>
    <x:row r="7" ht="39.95000076293945" customHeight="1">
      <x:c r="A7" s="48" t="s">
        <x:v>332</x:v>
      </x:c>
      <x:c r="B7" s="48"/>
      <x:c r="C7" s="48"/>
      <x:c r="D7" s="48"/>
      <x:c r="E7" s="48"/>
      <x:c r="F7" s="48"/>
      <x:c r="G7" s="48"/>
      <x:c r="H7" s="41"/>
    </x:row>
    <x:row r="8">
      <x:c r="A8" s="49" t="s">
        <x:v>98</x:v>
      </x:c>
      <x:c r="B8" s="49" t="s">
        <x:v>333</x:v>
      </x:c>
      <x:c r="C8" s="49" t="s">
        <x:v>79</x:v>
      </x:c>
      <x:c r="D8" s="49" t="s">
        <x:v>111</x:v>
      </x:c>
      <x:c r="E8" s="49" t="s">
        <x:v>112</x:v>
      </x:c>
      <x:c r="F8" s="49" t="s">
        <x:v>114</x:v>
      </x:c>
      <x:c r="G8" s="49" t="s">
        <x:v>116</x:v>
      </x:c>
      <x:c r="H8" s="41"/>
    </x:row>
    <x:row r="9" ht="54">
      <x:c r="A9" s="41"/>
      <x:c r="B9" s="41"/>
      <x:c r="C9" s="57"/>
      <x:c r="D9" s="58"/>
      <x:c r="E9" s="41"/>
      <x:c r="F9" s="41"/>
      <x:c r="G9" s="41"/>
      <x:c r="H9" s="41"/>
    </x:row>
    <x:row r="10" ht="54">
      <x:c r="A10" s="41"/>
      <x:c r="B10" s="41"/>
      <x:c r="C10" s="57"/>
      <x:c r="D10" s="58"/>
      <x:c r="E10" s="41"/>
      <x:c r="F10" s="41"/>
      <x:c r="G10" s="41"/>
      <x:c r="H10" s="41"/>
    </x:row>
    <x:row r="11" ht="67.5">
      <x:c r="A11" s="41"/>
      <x:c r="B11" s="41"/>
      <x:c r="C11" s="57"/>
      <x:c r="D11" s="58"/>
      <x:c r="E11" s="41"/>
      <x:c r="F11" s="41"/>
      <x:c r="G11" s="41"/>
      <x:c r="H11" s="41"/>
    </x:row>
    <x:row r="12" ht="67.5">
      <x:c r="A12" s="41"/>
      <x:c r="B12" s="41"/>
      <x:c r="C12" s="57"/>
      <x:c r="D12" s="58"/>
      <x:c r="E12" s="41"/>
      <x:c r="F12" s="41"/>
      <x:c r="G12" s="41"/>
      <x:c r="H12" s="41"/>
    </x:row>
    <x:row r="13" ht="67.5">
      <x:c r="A13" s="41"/>
      <x:c r="B13" s="41"/>
      <x:c r="C13" s="57"/>
      <x:c r="D13" s="58"/>
      <x:c r="E13" s="41"/>
      <x:c r="F13" s="41"/>
      <x:c r="G13" s="41"/>
      <x:c r="H13" s="41"/>
    </x:row>
    <x:row r="14" ht="67.5">
      <x:c r="A14" s="41"/>
      <x:c r="B14" s="41"/>
      <x:c r="C14" s="57"/>
      <x:c r="D14" s="58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 ht="30" customHeight="1">
      <x:c r="A17" s="463" t="str">
        <x:v>CURRENT ASSESSMENT / TAX ESTIMATE</x:v>
      </x:c>
      <x:c r="B17" s="463"/>
      <x:c r="C17" s="463"/>
      <x:c r="D17" s="463"/>
      <x:c r="E17" s="463"/>
      <x:c r="F17" s="463"/>
      <x:c r="G17" s="463"/>
      <x:c r="H17" s="463"/>
    </x:row>
    <x:row r="18" ht="30" customHeight="1">
      <x:c r="A18" s="507" t="str">
        <x:v>Current Assessed Value</x:v>
      </x:c>
      <x:c r="B18" s="490" t="str">
        <x:f>IFERROR(INDEX(Property!B:B,MATCH("GIS Current Total Value",Property!A:A,0)),"")</x:f>
      </x:c>
      <x:c r="C18" s="507" t="str">
        <x:v>Assessor Class</x:v>
      </x:c>
      <x:c r="D18" s="489" t="str">
        <x:f>IFERROR(INDEX(Property!B:B,MATCH("Assessor Class",Property!A:A,0)),"")</x:f>
      </x:c>
      <x:c r="E18" s="507" t="str">
        <x:v>Assessment Level</x:v>
      </x:c>
      <x:c r="F18" s="491" t="str">
        <x:f>IF(AND(ISNUMBER(Config!B30),Config!B30&gt;0),Config!B30/100,IF(OR(LEFT(D18&amp;"",1)="1",LEFT(D18&amp;"",1)="2",LEFT(D18&amp;"",1)="3"),0.1,IF(LEFT(D18&amp;"",1)="4",0.2,IF(LEFT(D18&amp;"",1)="5",0.25,""))))</x:f>
      </x:c>
      <x:c r="G18" s="507" t="str">
        <x:v>Est. Market Value</x:v>
      </x:c>
      <x:c r="H18" s="490" t="str">
        <x:f>IF(F18="","",B18/F18)</x:f>
      </x:c>
    </x:row>
    <x:row r="19" ht="30" customHeight="1">
      <x:c r="A19" s="549" t="str">
        <x:v>Estimate Basis Year</x:v>
      </x:c>
      <x:c r="B19" s="525" t="str">
        <x:f>IF(COUNTIF(A9:A14,Config!B26)&gt;0,Config!B26,IF(COUNTIF(A9:A14,Config!B28)&gt;0,Config!B28,""))</x:f>
      </x:c>
      <x:c r="C19" s="549" t="str">
        <x:v>Composite Tax Rate</x:v>
      </x:c>
      <x:c r="D19" s="526" t="str">
        <x:f>IF(B19="","",INDEX(B9:B14,MATCH(B19,A9:A14,0)))</x:f>
      </x:c>
      <x:c r="E19" s="549" t="str">
        <x:v>State Equalizer</x:v>
      </x:c>
      <x:c r="F19" s="527" t="str">
        <x:f>IF(B19=Config!B26,Config!B27,IF(B19=Config!B28,Config!B29,""))</x:f>
      </x:c>
      <x:c r="G19" s="549" t="str">
        <x:v>Estimated EAV</x:v>
      </x:c>
      <x:c r="H19" s="528" t="str">
        <x:f>IF(OR(B18="",F19=""),"",B18*F19)</x:f>
      </x:c>
    </x:row>
    <x:row r="20" ht="30" customHeight="1">
      <x:c r="A20" s="507" t="str">
        <x:v>Estimated Gross Taxes</x:v>
      </x:c>
      <x:c r="B20" s="555" t="str">
        <x:f>IF(OR(B18="",D19="",F19=""),"",B18*F19*D19/100)</x:f>
      </x:c>
      <x:c r="C20" s="507" t="str">
        <x:v>Estimate Type</x:v>
      </x:c>
      <x:c r="D20" s="489" t="str">
        <x:v>Before exemptions</x:v>
      </x:c>
      <x:c r="E20" s="507" t="str">
        <x:v>Actual Latest Bill</x:v>
      </x:c>
      <x:c r="F20" s="555" t="str">
        <x:f>IF(F4="","",F4)</x:f>
      </x:c>
      <x:c r="G20" s="507" t="str">
        <x:v>Rate/Factor Source</x:v>
      </x:c>
      <x:c r="H20" s="489" t="str">
        <x:f>IF(B19="","",TEXT(B19,"0")&amp;" tax rate + "&amp;TEXT(B19,"0")&amp;" equalizer")</x:f>
      </x:c>
    </x:row>
    <x:row r="21" ht="30" customHeight="1">
      <x:c r="A21"/>
      <x:c r="B21"/>
      <x:c r="C21"/>
      <x:c r="D21"/>
      <x:c r="E21"/>
      <x:c r="F21"/>
      <x:c r="G21"/>
      <x:c r="H21"/>
    </x:row>
    <x:row r="22" ht="30" customHeight="1">
      <x:c r="A22" s="575" t="str">
        <x:v>Estimated Gross Taxes use the current assessed value with the most recent tax year for which both a Portal composite tax rate and a final Cook County state equalizer are available. The estimate is before exemptions. Estimated Market Value is class-based for standard Classes 1–5; use the Config assessment-level override for incentive or special classes.</x:v>
      </x:c>
      <x:c r="B22" s="576"/>
      <x:c r="C22" s="576"/>
      <x:c r="D22" s="576"/>
      <x:c r="E22" s="576"/>
      <x:c r="F22" s="576"/>
      <x:c r="G22" s="576"/>
      <x:c r="H22" s="577"/>
    </x:row>
    <x:row r="23">
      <x:c r="A23" s="578"/>
      <x:c r="B23" s="579"/>
      <x:c r="C23" s="579"/>
      <x:c r="D23" s="579"/>
      <x:c r="E23" s="579"/>
      <x:c r="F23" s="579"/>
      <x:c r="G23" s="579"/>
      <x:c r="H23" s="580"/>
    </x:row>
    <x:row r="24">
      <x:c r="A24"/>
      <x:c r="B24"/>
      <x:c r="C24"/>
      <x:c r="D24"/>
      <x:c r="E24"/>
      <x:c r="F24"/>
      <x:c r="G24"/>
      <x:c r="H24"/>
    </x:row>
    <x:row r="25" ht="26.100000381469727" customHeight="1">
      <x:c r="A25" s="602" t="str">
        <x:v>OPTIONAL MANUAL TREASURER CROSS-CHECK</x:v>
      </x:c>
      <x:c r="B25" s="602"/>
      <x:c r="C25" s="602"/>
      <x:c r="D25" s="602"/>
      <x:c r="E25" s="602"/>
      <x:c r="F25" s="602"/>
      <x:c r="G25" s="602"/>
      <x:c r="H25" s="602"/>
    </x:row>
    <x:row r="26" ht="26.100000381469727" customHeight="1">
      <x:c r="A26" s="455" t="str">
        <x:v>Status</x:v>
      </x:c>
      <x:c r="B26" s="455"/>
      <x:c r="C26" s="457" t="str">
        <x:v>Not included in the automatic Windows report; use only when a manual Treasurer cross-check is needed.</x:v>
      </x:c>
      <x:c r="D26" s="457"/>
      <x:c r="E26" s="457"/>
      <x:c r="F26" s="457"/>
      <x:c r="G26" s="457"/>
      <x:c r="H26" s="457"/>
    </x:row>
    <x:row r="27" ht="26.100000381469727" customHeight="1">
      <x:c r="A27" s="455" t="str">
        <x:v>Official Search</x:v>
      </x:c>
      <x:c r="B27" s="455"/>
      <x:c r="C27" s="457" t="str">
        <x:v>https://www.cookcountytreasurer.com/setsearchparameters.aspx</x:v>
      </x:c>
      <x:c r="D27" s="457"/>
      <x:c r="E27" s="457"/>
      <x:c r="F27" s="457"/>
      <x:c r="G27" s="457"/>
      <x:c r="H27" s="457"/>
    </x:row>
    <x:row r="28" ht="26.100000381469727" customHeight="1">
      <x:c r="A28"/>
      <x:c r="B28"/>
      <x:c r="C28"/>
      <x:c r="D28"/>
      <x:c r="E28"/>
      <x:c r="F28"/>
      <x:c r="G28"/>
      <x:c r="H28"/>
    </x:row>
    <x:row r="29" ht="3" customHeight="1">
      <x:c r="A29"/>
      <x:c r="B29"/>
      <x:c r="C29"/>
      <x:c r="D29"/>
      <x:c r="E29"/>
      <x:c r="F29"/>
      <x:c r="G29"/>
      <x:c r="H29"/>
    </x:row>
    <x:row r="30" ht="3" customHeight="1">
      <x:c r="A30"/>
      <x:c r="B30"/>
      <x:c r="C30"/>
      <x:c r="D30"/>
      <x:c r="E30"/>
      <x:c r="F30"/>
      <x:c r="G30"/>
      <x:c r="H30"/>
    </x:row>
    <x:row r="31" ht="3" customHeight="1">
      <x:c r="A31"/>
      <x:c r="B31"/>
      <x:c r="C31"/>
      <x:c r="D31"/>
      <x:c r="E31"/>
      <x:c r="F31"/>
      <x:c r="G31"/>
      <x:c r="H31"/>
    </x:row>
    <x:row r="32" ht="3" customHeight="1">
      <x:c r="A32"/>
      <x:c r="B32"/>
      <x:c r="C32"/>
      <x:c r="D32"/>
      <x:c r="E32"/>
      <x:c r="F32"/>
      <x:c r="G32"/>
      <x:c r="H32"/>
    </x:row>
    <x:row r="33" ht="3" customHeight="1">
      <x:c r="A33"/>
      <x:c r="B33"/>
      <x:c r="C33"/>
      <x:c r="D33"/>
      <x:c r="E33"/>
      <x:c r="F33"/>
      <x:c r="G33"/>
      <x:c r="H33"/>
    </x:row>
    <x:row r="34" ht="3" customHeight="1">
      <x:c r="A34"/>
      <x:c r="B34"/>
      <x:c r="C34"/>
      <x:c r="D34"/>
      <x:c r="E34"/>
      <x:c r="F34"/>
      <x:c r="G34"/>
      <x:c r="H34"/>
    </x:row>
    <x:row r="35" ht="3" customHeight="1">
      <x:c r="A35"/>
      <x:c r="B35"/>
      <x:c r="C35"/>
      <x:c r="D35"/>
      <x:c r="E35"/>
      <x:c r="F35"/>
      <x:c r="G35"/>
      <x:c r="H35"/>
    </x:row>
    <x:row r="36" ht="3" customHeight="1">
      <x:c r="A36"/>
      <x:c r="B36"/>
      <x:c r="C36"/>
      <x:c r="D36"/>
      <x:c r="E36"/>
      <x:c r="F36"/>
      <x:c r="G36"/>
      <x:c r="H36"/>
    </x:row>
    <x:row r="37" ht="3" customHeight="1">
      <x:c r="A37"/>
      <x:c r="B37"/>
      <x:c r="C37"/>
      <x:c r="D37"/>
      <x:c r="E37"/>
      <x:c r="F37"/>
      <x:c r="G37"/>
      <x:c r="H37"/>
    </x:row>
    <x:row r="38" ht="3" customHeight="1">
      <x:c r="A38"/>
      <x:c r="B38"/>
      <x:c r="C38"/>
      <x:c r="D38"/>
      <x:c r="E38"/>
      <x:c r="F38"/>
      <x:c r="G38"/>
      <x:c r="H38"/>
    </x:row>
    <x:row r="39" ht="3" customHeight="1">
      <x:c r="A39"/>
      <x:c r="B39"/>
      <x:c r="C39"/>
      <x:c r="D39"/>
      <x:c r="E39"/>
      <x:c r="F39"/>
      <x:c r="G39"/>
      <x:c r="H39"/>
    </x:row>
    <x:row r="40" ht="3" customHeight="1">
      <x:c r="A40"/>
      <x:c r="B40"/>
      <x:c r="C40"/>
      <x:c r="D40"/>
      <x:c r="E40"/>
      <x:c r="F40"/>
      <x:c r="G40"/>
      <x:c r="H40"/>
    </x:row>
    <x:row r="41" ht="3" customHeight="1">
      <x:c r="A41"/>
      <x:c r="B41"/>
      <x:c r="C41"/>
      <x:c r="D41"/>
      <x:c r="E41"/>
      <x:c r="F41"/>
      <x:c r="G41"/>
      <x:c r="H41"/>
    </x:row>
    <x:row r="42" ht="3" customHeight="1">
      <x:c r="A42"/>
      <x:c r="B42"/>
      <x:c r="C42"/>
      <x:c r="D42"/>
      <x:c r="E42"/>
      <x:c r="F42"/>
      <x:c r="G42"/>
      <x:c r="H42"/>
    </x:row>
    <x:row r="43" ht="3" customHeight="1">
      <x:c r="A43"/>
      <x:c r="B43"/>
      <x:c r="C43"/>
      <x:c r="D43"/>
      <x:c r="E43"/>
      <x:c r="F43"/>
      <x:c r="G43"/>
      <x:c r="H43"/>
    </x:row>
    <x:row r="44" ht="3" customHeight="1">
      <x:c r="A44"/>
      <x:c r="B44"/>
      <x:c r="C44"/>
      <x:c r="D44"/>
      <x:c r="E44"/>
      <x:c r="F44"/>
      <x:c r="G44"/>
      <x:c r="H44"/>
    </x:row>
    <x:row r="45" ht="3" customHeight="1">
      <x:c r="A45"/>
      <x:c r="B45"/>
      <x:c r="C45"/>
      <x:c r="D45"/>
      <x:c r="E45"/>
      <x:c r="F45"/>
      <x:c r="G45"/>
      <x:c r="H45"/>
    </x:row>
    <x:row r="46" ht="3" customHeight="1">
      <x:c r="A46"/>
      <x:c r="B46"/>
      <x:c r="C46"/>
      <x:c r="D46"/>
      <x:c r="E46"/>
      <x:c r="F46"/>
      <x:c r="G46"/>
      <x:c r="H46"/>
    </x:row>
    <x:row r="47" ht="3" customHeight="1">
      <x:c r="A47"/>
      <x:c r="B47"/>
      <x:c r="C47"/>
      <x:c r="D47"/>
      <x:c r="E47"/>
      <x:c r="F47"/>
      <x:c r="G47"/>
      <x:c r="H47"/>
    </x:row>
    <x:row r="48" ht="3" customHeight="1">
      <x:c r="A48"/>
      <x:c r="B48"/>
      <x:c r="C48"/>
      <x:c r="D48"/>
      <x:c r="E48"/>
      <x:c r="F48"/>
      <x:c r="G48"/>
      <x:c r="H48"/>
    </x:row>
    <x:row r="49" ht="3" customHeight="1">
      <x:c r="A49"/>
      <x:c r="B49"/>
      <x:c r="C49"/>
      <x:c r="D49"/>
      <x:c r="E49"/>
      <x:c r="F49"/>
      <x:c r="G49"/>
      <x:c r="H49"/>
    </x:row>
    <x:row r="50" ht="3" customHeight="1">
      <x:c r="A50"/>
      <x:c r="B50"/>
      <x:c r="C50"/>
      <x:c r="D50"/>
      <x:c r="E50"/>
      <x:c r="F50"/>
      <x:c r="G50"/>
      <x:c r="H50"/>
    </x:row>
    <x:row r="51" ht="3" customHeight="1">
      <x:c r="A51"/>
      <x:c r="B51"/>
      <x:c r="C51"/>
      <x:c r="D51"/>
      <x:c r="E51"/>
      <x:c r="F51"/>
      <x:c r="G51"/>
      <x:c r="H51"/>
    </x:row>
    <x:row r="52" ht="3" customHeight="1">
      <x:c r="A52"/>
      <x:c r="B52"/>
      <x:c r="C52"/>
      <x:c r="D52"/>
      <x:c r="E52"/>
      <x:c r="F52"/>
      <x:c r="G52"/>
      <x:c r="H52"/>
    </x:row>
    <x:row r="53" ht="3" customHeight="1">
      <x:c r="A53"/>
      <x:c r="B53"/>
      <x:c r="C53"/>
      <x:c r="D53"/>
      <x:c r="E53"/>
      <x:c r="F53"/>
      <x:c r="G53"/>
      <x:c r="H53"/>
    </x:row>
    <x:row r="54" ht="3" customHeight="1">
      <x:c r="A54"/>
      <x:c r="B54"/>
      <x:c r="C54"/>
      <x:c r="D54"/>
      <x:c r="E54"/>
      <x:c r="F54"/>
      <x:c r="G54"/>
      <x:c r="H54"/>
    </x:row>
    <x:row r="55" ht="3" customHeight="1">
      <x:c r="A55"/>
      <x:c r="B55"/>
      <x:c r="C55"/>
      <x:c r="D55"/>
      <x:c r="E55"/>
      <x:c r="F55"/>
      <x:c r="G55"/>
      <x:c r="H55"/>
    </x:row>
    <x:row r="56" ht="3" customHeight="1">
      <x:c r="A56"/>
      <x:c r="B56"/>
      <x:c r="C56"/>
      <x:c r="D56"/>
      <x:c r="E56"/>
      <x:c r="F56"/>
      <x:c r="G56"/>
      <x:c r="H56"/>
    </x:row>
    <x:row r="57" ht="3" customHeight="1">
      <x:c r="A57"/>
      <x:c r="B57"/>
      <x:c r="C57"/>
      <x:c r="D57"/>
      <x:c r="E57"/>
      <x:c r="F57"/>
      <x:c r="G57"/>
      <x:c r="H57"/>
    </x:row>
    <x:row r="58" ht="3" customHeight="1">
      <x:c r="A58"/>
      <x:c r="B58"/>
      <x:c r="C58"/>
      <x:c r="D58"/>
      <x:c r="E58"/>
      <x:c r="F58"/>
      <x:c r="G58"/>
      <x:c r="H58"/>
    </x:row>
    <x:row r="59" ht="3" customHeight="1">
      <x:c r="A59"/>
      <x:c r="B59"/>
      <x:c r="C59"/>
      <x:c r="D59"/>
      <x:c r="E59"/>
      <x:c r="F59"/>
      <x:c r="G59"/>
      <x:c r="H59"/>
    </x:row>
    <x:row r="60" ht="3" customHeight="1">
      <x:c r="A60"/>
      <x:c r="B60"/>
      <x:c r="C60"/>
      <x:c r="D60"/>
      <x:c r="E60"/>
      <x:c r="F60"/>
      <x:c r="G60"/>
      <x:c r="H60"/>
    </x:row>
    <x:row r="61" ht="3" customHeight="1">
      <x:c r="A61"/>
      <x:c r="B61"/>
      <x:c r="C61"/>
      <x:c r="D61"/>
      <x:c r="E61"/>
      <x:c r="F61"/>
      <x:c r="G61"/>
      <x:c r="H61"/>
    </x:row>
    <x:row r="62" ht="3" customHeight="1">
      <x:c r="A62"/>
      <x:c r="B62"/>
      <x:c r="C62"/>
      <x:c r="D62"/>
      <x:c r="E62"/>
      <x:c r="F62"/>
      <x:c r="G62"/>
      <x:c r="H62"/>
    </x:row>
    <x:row r="63" ht="3" customHeight="1">
      <x:c r="A63"/>
      <x:c r="B63"/>
      <x:c r="C63"/>
      <x:c r="D63"/>
      <x:c r="E63"/>
      <x:c r="F63"/>
      <x:c r="G63"/>
      <x:c r="H63"/>
    </x:row>
    <x:row r="64" ht="3" customHeight="1">
      <x:c r="A64"/>
      <x:c r="B64"/>
      <x:c r="C64"/>
      <x:c r="D64"/>
      <x:c r="E64"/>
      <x:c r="F64"/>
      <x:c r="G64"/>
      <x:c r="H64"/>
    </x:row>
    <x:row r="65" ht="3" customHeight="1">
      <x:c r="A65"/>
      <x:c r="B65"/>
      <x:c r="C65"/>
      <x:c r="D65"/>
      <x:c r="E65"/>
      <x:c r="F65"/>
      <x:c r="G65"/>
      <x:c r="H65"/>
    </x:row>
    <x:row r="66" ht="3" customHeight="1">
      <x:c r="A66"/>
      <x:c r="B66"/>
      <x:c r="C66"/>
      <x:c r="D66"/>
      <x:c r="E66"/>
      <x:c r="F66"/>
      <x:c r="G66"/>
      <x:c r="H66"/>
    </x:row>
    <x:row r="67" ht="3" customHeight="1">
      <x:c r="A67"/>
      <x:c r="B67"/>
      <x:c r="C67"/>
      <x:c r="D67"/>
      <x:c r="E67"/>
      <x:c r="F67"/>
      <x:c r="G67"/>
      <x:c r="H67"/>
    </x:row>
    <x:row r="68" ht="3" customHeight="1">
      <x:c r="A68"/>
      <x:c r="B68"/>
      <x:c r="C68"/>
      <x:c r="D68"/>
      <x:c r="E68"/>
      <x:c r="F68"/>
      <x:c r="G68"/>
      <x:c r="H68"/>
    </x:row>
    <x:row r="69" ht="3" customHeight="1">
      <x:c r="A69"/>
      <x:c r="B69"/>
      <x:c r="C69"/>
      <x:c r="D69"/>
      <x:c r="E69"/>
      <x:c r="F69"/>
      <x:c r="G69"/>
      <x:c r="H69"/>
    </x:row>
    <x:row r="70" ht="3" customHeight="1">
      <x:c r="A70"/>
      <x:c r="B70"/>
      <x:c r="C70"/>
      <x:c r="D70"/>
      <x:c r="E70"/>
      <x:c r="F70"/>
      <x:c r="G70"/>
      <x:c r="H70"/>
    </x:row>
    <x:row r="71" ht="3" customHeight="1"/>
    <x:row r="72" ht="3" customHeight="1">
      <x:c r="G72"/>
      <x:c r="H72"/>
    </x:row>
    <x:row r="73" ht="3" customHeight="1"/>
    <x:row r="74" ht="3" customHeight="1">
      <x:c r="G74"/>
      <x:c r="H74"/>
    </x:row>
    <x:row r="78">
      <x:c r="G78" s="131" t="s">
        <x:v>334</x:v>
      </x:c>
      <x:c r="H78" s="131" t="s">
        <x:v>335</x:v>
      </x:c>
    </x:row>
  </x:sheetData>
  <x:mergeCells>
    <x:mergeCell ref="A17:H17"/>
    <x:mergeCell ref="A22:H23"/>
    <x:mergeCell ref="A25:H25"/>
    <x:mergeCell ref="A26:B26"/>
    <x:mergeCell ref="C26:H26"/>
    <x:mergeCell ref="A27:B27"/>
    <x:mergeCell ref="C27:H27"/>
  </x:mergeCells>
  <x:hyperlinks>
    <x:hyperlink xmlns:r="http://schemas.openxmlformats.org/officeDocument/2006/relationships" ref="H26" r:id="R3440c443ea514f2b"/>
    <x:hyperlink xmlns:r="http://schemas.openxmlformats.org/officeDocument/2006/relationships" ref="H27" r:id="R62f5b1b1def14c57"/>
    <x:hyperlink xmlns:r="http://schemas.openxmlformats.org/officeDocument/2006/relationships" ref="H28" r:id="R02cd3def5c3447e0"/>
    <x:hyperlink xmlns:r="http://schemas.openxmlformats.org/officeDocument/2006/relationships" ref="H29" r:id="R04556c5b89d24871"/>
    <x:hyperlink xmlns:r="http://schemas.openxmlformats.org/officeDocument/2006/relationships" ref="H30" r:id="Rce1f3f08263d4c41"/>
    <x:hyperlink xmlns:r="http://schemas.openxmlformats.org/officeDocument/2006/relationships" ref="H31" r:id="R5120c90b11ef4ad4"/>
    <x:hyperlink xmlns:r="http://schemas.openxmlformats.org/officeDocument/2006/relationships" ref="H32" r:id="Re4dd59da73624be3"/>
    <x:hyperlink xmlns:r="http://schemas.openxmlformats.org/officeDocument/2006/relationships" ref="H33" r:id="Ra37a8b52bba0418e"/>
  </x:hyperlinks>
  <x:pageMargins left="0.7" right="0.7" top="0.75" bottom="0.75" header="0.3" footer="0.3"/>
  <x:drawing xmlns:r="http://schemas.openxmlformats.org/officeDocument/2006/relationships" r:id="R04773ed8d53b4563"/>
</x:worksheet>
</file>

<file path=xl/worksheets/sheet16.xml><?xml version="1.0" encoding="utf-8"?>
<x:worksheet xmlns:x="http://schemas.openxmlformats.org/spreadsheetml/2006/main">
  <x:sheetFormatPr defaultColWidth="8.875" defaultRowHeight="14.25"/>
  <x:cols>
    <x:col min="1" max="1" width="8" customWidth="1"/>
    <x:col min="2" max="12" width="11" customWidth="1"/>
  </x:cols>
  <x:sheetData>
    <x:row r="1" ht="36" customHeight="1">
      <x:c r="A1" s="106" t="s">
        <x:v>336</x:v>
      </x:c>
      <x:c r="B1" s="107"/>
      <x:c r="C1" s="109" t="str">
        <x:f>IF(Report!B6="","",UPPER(Report!B6))</x:f>
      </x:c>
      <x:c r="D1" s="108"/>
      <x:c r="E1" s="107"/>
      <x:c r="F1" s="111" t="s">
        <x:v>222</x:v>
      </x:c>
      <x:c r="G1" s="108"/>
      <x:c r="H1" s="108"/>
      <x:c r="I1" s="108"/>
      <x:c r="J1" s="108"/>
      <x:c r="K1" s="108"/>
      <x:c r="L1" s="108"/>
    </x:row>
    <x:row r="2" ht="29.25" customHeight="1">
      <x:c r="A2" s="108"/>
      <x:c r="B2" s="107"/>
      <x:c r="C2" s="108"/>
      <x:c r="D2" s="108"/>
      <x:c r="E2" s="107"/>
      <x:c r="F2" s="108"/>
      <x:c r="G2" s="108"/>
      <x:c r="H2" s="108"/>
      <x:c r="I2" s="108"/>
      <x:c r="J2" s="108"/>
      <x:c r="K2" s="108"/>
      <x:c r="L2" s="108"/>
    </x:row>
    <x:row r="3" ht="26.850000381469727" customHeight="1">
      <x:c r="A3" s="108"/>
      <x:c r="B3" s="107"/>
      <x:c r="C3" s="110" t="str">
        <x:f>IF(Report!B5="","","PIN: "&amp;Report!B5)</x:f>
      </x:c>
      <x:c r="D3" s="108"/>
      <x:c r="E3" s="107"/>
      <x:c r="F3" s="112" t="s">
        <x:v>223</x:v>
      </x:c>
      <x:c r="G3" s="108"/>
      <x:c r="H3" s="108"/>
      <x:c r="I3" s="108"/>
      <x:c r="J3" s="108"/>
      <x:c r="K3" s="108"/>
      <x:c r="L3" s="108"/>
    </x:row>
    <x:row r="4" ht="26.850000381469727" customHeight="1">
      <x:c r="A4" s="108"/>
      <x:c r="B4" s="107"/>
      <x:c r="C4" s="108"/>
      <x:c r="D4" s="108"/>
      <x:c r="E4" s="107"/>
      <x:c r="F4" s="108"/>
      <x:c r="G4" s="108"/>
      <x:c r="H4" s="108"/>
      <x:c r="I4" s="108"/>
      <x:c r="J4" s="108"/>
      <x:c r="K4" s="108"/>
      <x:c r="L4" s="108"/>
    </x:row>
    <x:row r="5" ht="1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  <x:row r="6" ht="26.850000381469727" customHeight="1">
      <x:c r="A6" s="793" t="str">
        <x:v>AV</x:v>
      </x:c>
      <x:c r="B6" s="799" t="str">
        <x:v>CURRENT ASSESSED VALUE ($)</x:v>
      </x:c>
      <x:c r="C6" s="800"/>
      <x:c r="D6" s="793" t="str">
        <x:v>MV</x:v>
      </x:c>
      <x:c r="E6" s="799" t="str">
        <x:v>EST. MARKET VALUE ($)</x:v>
      </x:c>
      <x:c r="F6" s="800"/>
      <x:c r="G6" s="793" t="str">
        <x:v>%</x:v>
      </x:c>
      <x:c r="H6" s="799" t="str">
        <x:v>LATEST TAX RATE</x:v>
      </x:c>
      <x:c r="I6" s="800"/>
      <x:c r="J6" s="793" t="str">
        <x:v>$</x:v>
      </x:c>
      <x:c r="K6" s="799" t="str">
        <x:v>EST. GROSS TAXES*</x:v>
      </x:c>
      <x:c r="L6" s="800"/>
    </x:row>
    <x:row r="7" ht="26.850000381469727" customHeight="1">
      <x:c r="A7" s="794"/>
      <x:c r="B7" s="803" t="str">
        <x:f>IF('Tax Detail'!B18="","",'Tax Detail'!B18)</x:f>
      </x:c>
      <x:c r="C7" s="804"/>
      <x:c r="D7" s="794"/>
      <x:c r="E7" s="803" t="str">
        <x:f>IF('Tax Detail'!H18="","",'Tax Detail'!H18)</x:f>
      </x:c>
      <x:c r="F7" s="804"/>
      <x:c r="G7" s="794"/>
      <x:c r="H7" s="807" t="str">
        <x:f>IF('Tax Detail'!D19="","",'Tax Detail'!D19)</x:f>
      </x:c>
      <x:c r="I7" s="808"/>
      <x:c r="J7" s="794"/>
      <x:c r="K7" s="811" t="str">
        <x:f>IF('Tax Detail'!B20="","",'Tax Detail'!B20)</x:f>
      </x:c>
      <x:c r="L7" s="812"/>
    </x:row>
    <x:row r="8" ht="26.850000381469727" customHeight="1">
      <x:c r="A8" s="795"/>
      <x:c r="B8" s="815" t="str">
        <x:v>Current CookViewer AV</x:v>
      </x:c>
      <x:c r="C8" s="816"/>
      <x:c r="D8" s="795"/>
      <x:c r="E8" s="815" t="str">
        <x:f>IF('Tax Detail'!F18="","Set assessment-level override if needed",TEXT('Tax Detail'!F18,"0%")&amp;" assessment level")</x:f>
        <x:v>Set assessment-level override if needed</x:v>
      </x:c>
      <x:c r="F8" s="816"/>
      <x:c r="G8" s="795"/>
      <x:c r="H8" s="815" t="str">
        <x:f>IF('Tax Detail'!B19="","",TEXT('Tax Detail'!B19,"0")&amp;" composite rate")</x:f>
      </x:c>
      <x:c r="I8" s="816"/>
      <x:c r="J8" s="795"/>
      <x:c r="K8" s="815" t="str">
        <x:f>IF('Tax Detail'!B19="","","Using "&amp;TEXT('Tax Detail'!B19,"0")&amp;" equalizer/rate; before exemptions")</x:f>
      </x:c>
      <x:c r="L8" s="816"/>
    </x:row>
    <x:row r="9" ht="15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</x:row>
    <x:row r="10" ht="15">
      <x:c r="A10" s="82" t="s">
        <x:v>224</x:v>
      </x:c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4"/>
    </x:row>
    <x:row r="11" ht="25.350000381469727" customHeight="1">
      <x:c r="A11" s="155" t="s">
        <x:v>66</x:v>
      </x:c>
      <x:c r="B11" s="156"/>
      <x:c r="C11" s="157" t="str">
        <x:f>IF(Report!B5="","",Report!B5)</x:f>
      </x:c>
      <x:c r="D11" s="157"/>
      <x:c r="E11" s="157"/>
      <x:c r="F11" s="157"/>
      <x:c r="G11" s="156" t="s">
        <x:v>225</x:v>
      </x:c>
      <x:c r="H11" s="156"/>
      <x:c r="I11" s="157" t="str">
        <x:f>IF(Report!E5="","",Report!E5)</x:f>
      </x:c>
      <x:c r="J11" s="157"/>
      <x:c r="K11" s="157"/>
      <x:c r="L11" s="158"/>
    </x:row>
    <x:row r="12" ht="25.350000381469727" customHeight="1">
      <x:c r="A12" s="159" t="s">
        <x:v>226</x:v>
      </x:c>
      <x:c r="B12" s="160"/>
      <x:c r="C12" s="161" t="str">
        <x:f>IF(Report!B6="","",Report!B6)</x:f>
      </x:c>
      <x:c r="D12" s="161"/>
      <x:c r="E12" s="161"/>
      <x:c r="F12" s="161"/>
      <x:c r="G12" s="160" t="s">
        <x:v>227</x:v>
      </x:c>
      <x:c r="H12" s="160"/>
      <x:c r="I12" s="161" t="str">
        <x:f>IF(Report!E6="","",Report!E6)</x:f>
      </x:c>
      <x:c r="J12" s="161"/>
      <x:c r="K12" s="161"/>
      <x:c r="L12" s="162"/>
    </x:row>
    <x:row r="13" ht="25.350000381469727" customHeight="1">
      <x:c r="A13" s="155" t="s">
        <x:v>153</x:v>
      </x:c>
      <x:c r="B13" s="156"/>
      <x:c r="C13" s="157" t="str">
        <x:f>IF(Report!B7="","",Report!B7)</x:f>
      </x:c>
      <x:c r="D13" s="157"/>
      <x:c r="E13" s="157"/>
      <x:c r="F13" s="157"/>
      <x:c r="G13" s="156" t="str">
        <x:v>Tax Rate</x:v>
      </x:c>
      <x:c r="H13" s="156"/>
      <x:c r="I13" s="818" t="str">
        <x:f>IF('Tax Detail'!D19="","",'Tax Detail'!D19)</x:f>
      </x:c>
      <x:c r="J13" s="818"/>
      <x:c r="K13" s="818"/>
      <x:c r="L13" s="819"/>
    </x:row>
    <x:row r="14" ht="25.350000381469727" customHeight="1">
      <x:c r="A14" s="159" t="s">
        <x:v>72</x:v>
      </x:c>
      <x:c r="B14" s="160"/>
      <x:c r="C14" s="161" t="str">
        <x:f>IF(Report!B8="","",Report!B8)</x:f>
      </x:c>
      <x:c r="D14" s="161"/>
      <x:c r="E14" s="161"/>
      <x:c r="F14" s="161"/>
      <x:c r="G14" s="160" t="str">
        <x:v>Tax Code</x:v>
      </x:c>
      <x:c r="H14" s="160"/>
      <x:c r="I14" s="161" t="str">
        <x:f>IF('Tax Detail'!D4="","",'Tax Detail'!D4)</x:f>
      </x:c>
      <x:c r="J14" s="161"/>
      <x:c r="K14" s="161"/>
      <x:c r="L14" s="162"/>
    </x:row>
    <x:row r="15" ht="25.350000381469727" customHeight="1">
      <x:c r="A15" s="155" t="s">
        <x:v>75</x:v>
      </x:c>
      <x:c r="B15" s="156"/>
      <x:c r="C15" s="157" t="str">
        <x:f>IF(Report!B9="","",Report!B9)</x:f>
      </x:c>
      <x:c r="D15" s="157"/>
      <x:c r="E15" s="157"/>
      <x:c r="F15" s="157"/>
      <x:c r="G15" s="156" t="str">
        <x:v>State Equalizer</x:v>
      </x:c>
      <x:c r="H15" s="156"/>
      <x:c r="I15" s="822" t="str">
        <x:f>IF('Tax Detail'!F19="","",'Tax Detail'!F19)</x:f>
      </x:c>
      <x:c r="J15" s="822"/>
      <x:c r="K15" s="822"/>
      <x:c r="L15" s="823"/>
    </x:row>
    <x:row r="16" ht="25.350000381469727" customHeight="1">
      <x:c r="A16" s="159" t="s">
        <x:v>76</x:v>
      </x:c>
      <x:c r="B16" s="160"/>
      <x:c r="C16" s="161" t="str">
        <x:f>IF(Report!B10="","",Report!B10)</x:f>
      </x:c>
      <x:c r="D16" s="161"/>
      <x:c r="E16" s="161"/>
      <x:c r="F16" s="161"/>
      <x:c r="G16" s="160" t="s">
        <x:v>230</x:v>
      </x:c>
      <x:c r="H16" s="160"/>
      <x:c r="I16" s="161" t="str">
        <x:f>IF(Report!E10="","",Report!E10)</x:f>
      </x:c>
      <x:c r="J16" s="161"/>
      <x:c r="K16" s="161"/>
      <x:c r="L16" s="162"/>
    </x:row>
    <x:row r="17" ht="25.350000381469727" customHeight="1">
      <x:c r="A17" s="155" t="s">
        <x:v>88</x:v>
      </x:c>
      <x:c r="B17" s="156"/>
      <x:c r="C17" s="157" t="str">
        <x:f>IF(Report!B11="","",Report!B11)</x:f>
      </x:c>
      <x:c r="D17" s="157"/>
      <x:c r="E17" s="157"/>
      <x:c r="F17" s="157"/>
      <x:c r="G17" s="156" t="s">
        <x:v>49</x:v>
      </x:c>
      <x:c r="H17" s="156"/>
      <x:c r="I17" s="157" t="str">
        <x:f>IF(Report!E11="","",Report!E11)</x:f>
      </x:c>
      <x:c r="J17" s="157"/>
      <x:c r="K17" s="157"/>
      <x:c r="L17" s="158"/>
    </x:row>
    <x:row r="18" ht="25.350000381469727" customHeight="1">
      <x:c r="A18" s="165" t="s">
        <x:v>87</x:v>
      </x:c>
      <x:c r="B18" s="166"/>
      <x:c r="C18" s="167" t="str">
        <x:f>IF(Report!B12="","",Report!B12)</x:f>
      </x:c>
      <x:c r="D18" s="167"/>
      <x:c r="E18" s="167"/>
      <x:c r="F18" s="167"/>
      <x:c r="G18" s="166" t="s">
        <x:v>231</x:v>
      </x:c>
      <x:c r="H18" s="166"/>
      <x:c r="I18" s="168" t="str">
        <x:f>IF(Report!E12="","",Report!E12)</x:f>
      </x:c>
      <x:c r="J18" s="167"/>
      <x:c r="K18" s="167"/>
      <x:c r="L18" s="169"/>
    </x:row>
    <x:row r="19" ht="15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 ht="15">
      <x:c r="A20" s="92" t="s">
        <x:v>232</x:v>
      </x:c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4"/>
    </x:row>
    <x:row r="21" ht="33.20000076293945" customHeight="1">
      <x:c r="A21" s="172" t="str">
        <x:f>IF(Issues!A5="","",Issues!A5)</x:f>
      </x:c>
      <x:c r="B21" s="173"/>
      <x:c r="C21" s="170" t="str">
        <x:f>IF(Issues!B5="","",Issues!B5)</x:f>
      </x:c>
      <x:c r="D21" s="170"/>
      <x:c r="E21" s="170"/>
      <x:c r="F21" s="170"/>
      <x:c r="G21" s="170"/>
      <x:c r="H21" s="170"/>
      <x:c r="I21" s="170"/>
      <x:c r="J21" s="170"/>
      <x:c r="K21" s="170"/>
      <x:c r="L21" s="171"/>
    </x:row>
    <x:row r="22" ht="33.20000076293945" customHeight="1">
      <x:c r="A22" s="172" t="str">
        <x:f>IF(Issues!A6="","",Issues!A6)</x:f>
      </x:c>
      <x:c r="B22" s="173"/>
      <x:c r="C22" s="174" t="str">
        <x:f>IF(Issues!B6="","",Issues!B6)</x:f>
      </x:c>
      <x:c r="D22" s="174"/>
      <x:c r="E22" s="174"/>
      <x:c r="F22" s="174"/>
      <x:c r="G22" s="174"/>
      <x:c r="H22" s="174"/>
      <x:c r="I22" s="174"/>
      <x:c r="J22" s="174"/>
      <x:c r="K22" s="174"/>
      <x:c r="L22" s="175"/>
    </x:row>
    <x:row r="23" ht="33.20000076293945" customHeight="1">
      <x:c r="A23" s="172" t="str">
        <x:f>IF(Issues!A7="","",Issues!A7)</x:f>
      </x:c>
      <x:c r="B23" s="173"/>
      <x:c r="C23" s="170" t="str">
        <x:f>IF(Issues!B7="","",Issues!B7)</x:f>
      </x:c>
      <x:c r="D23" s="170"/>
      <x:c r="E23" s="170"/>
      <x:c r="F23" s="170"/>
      <x:c r="G23" s="170"/>
      <x:c r="H23" s="170"/>
      <x:c r="I23" s="170"/>
      <x:c r="J23" s="170"/>
      <x:c r="K23" s="170"/>
      <x:c r="L23" s="171"/>
    </x:row>
    <x:row r="24" ht="33.20000076293945" customHeight="1">
      <x:c r="A24" s="172" t="str">
        <x:f>IF(Issues!A8="","",Issues!A8)</x:f>
      </x:c>
      <x:c r="B24" s="173"/>
      <x:c r="C24" s="174" t="str">
        <x:f>IF(Issues!B8="","",Issues!B8)</x:f>
      </x:c>
      <x:c r="D24" s="174"/>
      <x:c r="E24" s="174"/>
      <x:c r="F24" s="174"/>
      <x:c r="G24" s="174"/>
      <x:c r="H24" s="174"/>
      <x:c r="I24" s="174"/>
      <x:c r="J24" s="174"/>
      <x:c r="K24" s="174"/>
      <x:c r="L24" s="175"/>
    </x:row>
    <x:row r="25" ht="33.20000076293945" customHeight="1">
      <x:c r="A25" s="178" t="str">
        <x:f>IF(Issues!A9="","",Issues!A9)</x:f>
      </x:c>
      <x:c r="B25" s="179"/>
      <x:c r="C25" s="176" t="str">
        <x:f>IF(Issues!B9="","",Issues!B9)</x:f>
      </x:c>
      <x:c r="D25" s="176"/>
      <x:c r="E25" s="176"/>
      <x:c r="F25" s="176"/>
      <x:c r="G25" s="176"/>
      <x:c r="H25" s="176"/>
      <x:c r="I25" s="176"/>
      <x:c r="J25" s="176"/>
      <x:c r="K25" s="176"/>
      <x:c r="L25" s="177"/>
    </x:row>
    <x:row r="26" ht="15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 ht="15">
      <x:c r="A27" s="82" t="s">
        <x:v>233</x:v>
      </x:c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4"/>
    </x:row>
    <x:row r="28" ht="24" customHeight="1">
      <x:c r="A28" s="826" t="str">
        <x:v>Public-record information can be incomplete, delayed, or inconsistent across Cook County systems. The executive tax estimate uses the current assessed value with the most recent common-year composite tax rate and final Cook County state equalizer (2025 when available; 2024 fallback). It is a gross estimate before exemptions, not a final tax bill. Market value is class-based for standard Classes 1–5; use the Config assessment-level override for incentive or special classes. Verify material information before reliance.</x:v>
      </x:c>
      <x:c r="B28" s="827"/>
      <x:c r="C28" s="827"/>
      <x:c r="D28" s="827"/>
      <x:c r="E28" s="827"/>
      <x:c r="F28" s="827"/>
      <x:c r="G28" s="827"/>
      <x:c r="H28" s="827"/>
      <x:c r="I28" s="827"/>
      <x:c r="J28" s="827"/>
      <x:c r="K28" s="827"/>
      <x:c r="L28" s="828"/>
    </x:row>
    <x:row r="29" ht="24" customHeight="1">
      <x:c r="A29" s="829"/>
      <x:c r="B29" s="827"/>
      <x:c r="C29" s="827"/>
      <x:c r="D29" s="827"/>
      <x:c r="E29" s="827"/>
      <x:c r="F29" s="827"/>
      <x:c r="G29" s="827"/>
      <x:c r="H29" s="827"/>
      <x:c r="I29" s="827"/>
      <x:c r="J29" s="827"/>
      <x:c r="K29" s="827"/>
      <x:c r="L29" s="828"/>
    </x:row>
    <x:row r="30" ht="24" customHeight="1">
      <x:c r="A30" s="829"/>
      <x:c r="B30" s="827"/>
      <x:c r="C30" s="827"/>
      <x:c r="D30" s="827"/>
      <x:c r="E30" s="827"/>
      <x:c r="F30" s="827"/>
      <x:c r="G30" s="827"/>
      <x:c r="H30" s="827"/>
      <x:c r="I30" s="827"/>
      <x:c r="J30" s="827"/>
      <x:c r="K30" s="827"/>
      <x:c r="L30" s="828"/>
    </x:row>
    <x:row r="31" ht="24" customHeight="1">
      <x:c r="A31" s="830"/>
      <x:c r="B31" s="831"/>
      <x:c r="C31" s="831"/>
      <x:c r="D31" s="831"/>
      <x:c r="E31" s="831"/>
      <x:c r="F31" s="831"/>
      <x:c r="G31" s="831"/>
      <x:c r="H31" s="831"/>
      <x:c r="I31" s="831"/>
      <x:c r="J31" s="831"/>
      <x:c r="K31" s="831"/>
      <x:c r="L31" s="832"/>
    </x:row>
    <x:row r="32" ht="15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 ht="15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 ht="15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 ht="1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 ht="15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 ht="15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 ht="15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 ht="15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 ht="15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</x:sheetData>
  <x:mergeCells>
    <x:mergeCell ref="D6:D8"/>
    <x:mergeCell ref="A1:B4"/>
    <x:mergeCell ref="C1:E2"/>
    <x:mergeCell ref="C3:E4"/>
    <x:mergeCell ref="F1:L2"/>
    <x:mergeCell ref="F3:L4"/>
    <x:mergeCell ref="J6:J8"/>
    <x:mergeCell ref="K6:L6"/>
    <x:mergeCell ref="K7:L7"/>
    <x:mergeCell ref="K8:L8"/>
    <x:mergeCell ref="A10:L10"/>
    <x:mergeCell ref="E6:F6"/>
    <x:mergeCell ref="E7:F7"/>
    <x:mergeCell ref="E8:F8"/>
    <x:mergeCell ref="G6:G8"/>
    <x:mergeCell ref="H6:I6"/>
    <x:mergeCell ref="H7:I7"/>
    <x:mergeCell ref="H8:I8"/>
    <x:mergeCell ref="A6:A8"/>
    <x:mergeCell ref="B6:C6"/>
    <x:mergeCell ref="B7:C7"/>
    <x:mergeCell ref="B8:C8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I11:L11"/>
    <x:mergeCell ref="G12:H12"/>
    <x:mergeCell ref="I12:L12"/>
    <x:mergeCell ref="G13:H13"/>
    <x:mergeCell ref="I13:L13"/>
    <x:mergeCell ref="G11:H11"/>
    <x:mergeCell ref="I14:L14"/>
    <x:mergeCell ref="G15:H15"/>
    <x:mergeCell ref="I15:L15"/>
    <x:mergeCell ref="G16:H16"/>
    <x:mergeCell ref="I16:L16"/>
    <x:mergeCell ref="G14:H14"/>
    <x:mergeCell ref="I17:L17"/>
    <x:mergeCell ref="G18:H18"/>
    <x:mergeCell ref="I18:L18"/>
    <x:mergeCell ref="A20:L20"/>
    <x:mergeCell ref="A21:B21"/>
    <x:mergeCell ref="C21:L21"/>
    <x:mergeCell ref="A17:B17"/>
    <x:mergeCell ref="C17:F17"/>
    <x:mergeCell ref="A18:B18"/>
    <x:mergeCell ref="C18:F18"/>
    <x:mergeCell ref="G17:H17"/>
    <x:mergeCell ref="A25:B25"/>
    <x:mergeCell ref="C25:L25"/>
    <x:mergeCell ref="A27:L27"/>
    <x:mergeCell ref="A28:L31"/>
    <x:mergeCell ref="A22:B22"/>
    <x:mergeCell ref="C22:L22"/>
    <x:mergeCell ref="A23:B23"/>
    <x:mergeCell ref="C23:L23"/>
    <x:mergeCell ref="A24:B24"/>
    <x:mergeCell ref="C24:L2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8.875" defaultRowHeight="14.25"/>
  <x:cols>
    <x:col min="1" max="1" width="8" customWidth="1"/>
    <x:col min="2" max="2" width="11" customWidth="1"/>
    <x:col min="3" max="3" width="10" customWidth="1"/>
    <x:col min="4" max="12" width="11" customWidth="1"/>
  </x:cols>
  <x:sheetData>
    <x:row r="1" ht="36" customHeight="1">
      <x:c r="A1" s="106" t="s">
        <x:v>336</x:v>
      </x:c>
      <x:c r="B1" s="107"/>
      <x:c r="C1" s="109" t="str">
        <x:f>IF(Report!B6="","",UPPER(Report!B6))</x:f>
      </x:c>
      <x:c r="D1" s="108"/>
      <x:c r="E1" s="107"/>
      <x:c r="F1" s="111" t="s">
        <x:v>337</x:v>
      </x:c>
      <x:c r="G1" s="108"/>
      <x:c r="H1" s="108"/>
      <x:c r="I1" s="108"/>
      <x:c r="J1" s="108"/>
      <x:c r="K1" s="108"/>
      <x:c r="L1" s="108"/>
    </x:row>
    <x:row r="2" ht="29.25" customHeight="1">
      <x:c r="A2" s="108"/>
      <x:c r="B2" s="107"/>
      <x:c r="C2" s="108"/>
      <x:c r="D2" s="108"/>
      <x:c r="E2" s="107"/>
      <x:c r="F2" s="108"/>
      <x:c r="G2" s="108"/>
      <x:c r="H2" s="108"/>
      <x:c r="I2" s="108"/>
      <x:c r="J2" s="108"/>
      <x:c r="K2" s="108"/>
      <x:c r="L2" s="108"/>
    </x:row>
    <x:row r="3" ht="26.850000381469727" customHeight="1">
      <x:c r="A3" s="108"/>
      <x:c r="B3" s="107"/>
      <x:c r="C3" s="110" t="str">
        <x:f>IF(Report!B5="","","PIN: "&amp;Report!B5)</x:f>
      </x:c>
      <x:c r="D3" s="108"/>
      <x:c r="E3" s="107"/>
      <x:c r="F3" s="112" t="s">
        <x:v>338</x:v>
      </x:c>
      <x:c r="G3" s="108"/>
      <x:c r="H3" s="108"/>
      <x:c r="I3" s="108"/>
      <x:c r="J3" s="108"/>
      <x:c r="K3" s="108"/>
      <x:c r="L3" s="108"/>
    </x:row>
    <x:row r="4" ht="26.850000381469727" customHeight="1">
      <x:c r="A4" s="108"/>
      <x:c r="B4" s="107"/>
      <x:c r="C4" s="108"/>
      <x:c r="D4" s="108"/>
      <x:c r="E4" s="107"/>
      <x:c r="F4" s="108"/>
      <x:c r="G4" s="108"/>
      <x:c r="H4" s="108"/>
      <x:c r="I4" s="108"/>
      <x:c r="J4" s="108"/>
      <x:c r="K4" s="108"/>
      <x:c r="L4" s="108"/>
    </x:row>
    <x:row r="5" ht="1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  <x:row r="6" ht="26.850000381469727" customHeight="1">
      <x:c r="A6" s="180" t="s">
        <x:v>339</x:v>
      </x:c>
      <x:c r="B6" s="181" t="s">
        <x:v>340</x:v>
      </x:c>
      <x:c r="C6" s="182"/>
      <x:c r="D6" s="180" t="s">
        <x:v>341</x:v>
      </x:c>
      <x:c r="E6" s="181" t="s">
        <x:v>342</x:v>
      </x:c>
      <x:c r="F6" s="182"/>
      <x:c r="G6" s="180" t="s">
        <x:v>343</x:v>
      </x:c>
      <x:c r="H6" s="181" t="s">
        <x:v>344</x:v>
      </x:c>
      <x:c r="I6" s="182"/>
      <x:c r="J6" s="95" t="s">
        <x:v>345</x:v>
      </x:c>
      <x:c r="K6" s="98" t="s">
        <x:v>346</x:v>
      </x:c>
      <x:c r="L6" s="119"/>
    </x:row>
    <x:row r="7" ht="26.850000381469727" customHeight="1">
      <x:c r="A7" s="183"/>
      <x:c r="B7" s="184" t="n">
        <x:f>COUNTIF(Appeals!A5:A200,"Assessor")</x:f>
        <x:v>0</x:v>
      </x:c>
      <x:c r="C7" s="185"/>
      <x:c r="D7" s="183"/>
      <x:c r="E7" s="184" t="n">
        <x:f>COUNTIF(Appeals!A5:A200,"Board of Review")</x:f>
        <x:v>0</x:v>
      </x:c>
      <x:c r="F7" s="185"/>
      <x:c r="G7" s="183"/>
      <x:c r="H7" s="184" t="str">
        <x:f>IF(COUNTIF(Appeals!A5:A200,"PTAB")=0,"No Docket",INDEX(Appeals!E5:E200,MATCH("PTAB",Appeals!A5:A200,0)))</x:f>
        <x:v>No Docket</x:v>
      </x:c>
      <x:c r="I7" s="185"/>
      <x:c r="J7" s="96"/>
      <x:c r="K7" s="120" t="n">
        <x:f>SUMIF(Appeals!A5:A200,"Board of Review",Appeals!H5:H200)</x:f>
        <x:v>0</x:v>
      </x:c>
      <x:c r="L7" s="121"/>
    </x:row>
    <x:row r="8" ht="26.850000381469727" customHeight="1">
      <x:c r="A8" s="186"/>
      <x:c r="B8" s="187" t="s">
        <x:v>347</x:v>
      </x:c>
      <x:c r="C8" s="188"/>
      <x:c r="D8" s="186"/>
      <x:c r="E8" s="187" t="str">
        <x:f>COUNTIFS(Appeals!A5:A200,"Board of Review",Appeals!E5:E200,"Decrease")&amp;" Decreases"</x:f>
        <x:v>0 Decreases</x:v>
      </x:c>
      <x:c r="F8" s="188"/>
      <x:c r="G8" s="186"/>
      <x:c r="H8" s="187" t="str">
        <x:f>IF(COUNTIF(Appeals!A5:A200,"PTAB")=0,"No PTAB docket found by PIN","See PTAB detail below")</x:f>
        <x:v>No PTAB docket found by PIN</x:v>
      </x:c>
      <x:c r="I8" s="188"/>
      <x:c r="J8" s="97"/>
      <x:c r="K8" s="102" t="s">
        <x:v>348</x:v>
      </x:c>
      <x:c r="L8" s="103"/>
    </x:row>
    <x:row r="9" ht="15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</x:row>
    <x:row r="10" ht="15">
      <x:c r="A10" s="122" t="s">
        <x:v>349</x:v>
      </x:c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4"/>
    </x:row>
    <x:row r="11" ht="15">
      <x:c r="A11" s="115" t="s">
        <x:v>130</x:v>
      </x:c>
      <x:c r="B11" s="116"/>
      <x:c r="C11" s="34" t="s">
        <x:v>98</x:v>
      </x:c>
      <x:c r="D11" s="117" t="s">
        <x:v>131</x:v>
      </x:c>
      <x:c r="E11" s="116"/>
      <x:c r="F11" s="34" t="s">
        <x:v>132</x:v>
      </x:c>
      <x:c r="G11" s="34" t="s">
        <x:v>7</x:v>
      </x:c>
      <x:c r="H11" s="34" t="s">
        <x:v>133</x:v>
      </x:c>
      <x:c r="I11" s="34" t="s">
        <x:v>134</x:v>
      </x:c>
      <x:c r="J11" s="34" t="s">
        <x:v>135</x:v>
      </x:c>
      <x:c r="K11" s="117" t="s">
        <x:v>115</x:v>
      </x:c>
      <x:c r="L11" s="118"/>
    </x:row>
    <x:row r="12" ht="26.850000381469727" customHeight="1">
      <x:c r="A12" s="201" t="str">
        <x:f>IF(Appeals!A5="","",Appeals!A5)</x:f>
      </x:c>
      <x:c r="B12" s="198"/>
      <x:c r="C12" s="197" t="str">
        <x:f>IF(Appeals!B5="","",Appeals!B5)</x:f>
      </x:c>
      <x:c r="D12" s="198" t="str">
        <x:f>IF(Appeals!C5="","",Appeals!C5)</x:f>
      </x:c>
      <x:c r="E12" s="198"/>
      <x:c r="F12" s="197" t="str">
        <x:f>IF(Appeals!D5="","",Appeals!D5)</x:f>
      </x:c>
      <x:c r="G12" s="202" t="str">
        <x:f>IF(Appeals!E5="","",Appeals!E5)</x:f>
      </x:c>
      <x:c r="H12" s="197" t="str">
        <x:f>IF(Appeals!F5="","",Appeals!F5)</x:f>
      </x:c>
      <x:c r="I12" s="197" t="str">
        <x:f>IF(Appeals!G5="","",Appeals!G5)</x:f>
      </x:c>
      <x:c r="J12" s="199" t="str">
        <x:f>IF(Appeals!H5="","",Appeals!H5)</x:f>
      </x:c>
      <x:c r="K12" s="198" t="str">
        <x:f>IF(Appeals!I5="","",Appeals!I5)</x:f>
      </x:c>
      <x:c r="L12" s="200"/>
    </x:row>
    <x:row r="13" ht="26.850000381469727" customHeight="1">
      <x:c r="A13" s="207" t="str">
        <x:f>IF(Appeals!A6="","",Appeals!A6)</x:f>
      </x:c>
      <x:c r="B13" s="204"/>
      <x:c r="C13" s="203" t="str">
        <x:f>IF(Appeals!B6="","",Appeals!B6)</x:f>
      </x:c>
      <x:c r="D13" s="204" t="str">
        <x:f>IF(Appeals!C6="","",Appeals!C6)</x:f>
      </x:c>
      <x:c r="E13" s="204"/>
      <x:c r="F13" s="203" t="str">
        <x:f>IF(Appeals!D6="","",Appeals!D6)</x:f>
      </x:c>
      <x:c r="G13" s="202" t="str">
        <x:f>IF(Appeals!E6="","",Appeals!E6)</x:f>
      </x:c>
      <x:c r="H13" s="203" t="str">
        <x:f>IF(Appeals!F6="","",Appeals!F6)</x:f>
      </x:c>
      <x:c r="I13" s="203" t="str">
        <x:f>IF(Appeals!G6="","",Appeals!G6)</x:f>
      </x:c>
      <x:c r="J13" s="205" t="str">
        <x:f>IF(Appeals!H6="","",Appeals!H6)</x:f>
      </x:c>
      <x:c r="K13" s="204" t="str">
        <x:f>IF(Appeals!I6="","",Appeals!I6)</x:f>
      </x:c>
      <x:c r="L13" s="206"/>
    </x:row>
    <x:row r="14" ht="26.850000381469727" customHeight="1">
      <x:c r="A14" s="201" t="str">
        <x:f>IF(Appeals!A7="","",Appeals!A7)</x:f>
      </x:c>
      <x:c r="B14" s="198"/>
      <x:c r="C14" s="197" t="str">
        <x:f>IF(Appeals!B7="","",Appeals!B7)</x:f>
      </x:c>
      <x:c r="D14" s="198" t="str">
        <x:f>IF(Appeals!C7="","",Appeals!C7)</x:f>
      </x:c>
      <x:c r="E14" s="198"/>
      <x:c r="F14" s="197" t="str">
        <x:f>IF(Appeals!D7="","",Appeals!D7)</x:f>
      </x:c>
      <x:c r="G14" s="208" t="str">
        <x:f>IF(Appeals!E7="","",Appeals!E7)</x:f>
      </x:c>
      <x:c r="H14" s="197" t="str">
        <x:f>IF(Appeals!F7="","",Appeals!F7)</x:f>
      </x:c>
      <x:c r="I14" s="197" t="str">
        <x:f>IF(Appeals!G7="","",Appeals!G7)</x:f>
      </x:c>
      <x:c r="J14" s="199" t="str">
        <x:f>IF(Appeals!H7="","",Appeals!H7)</x:f>
      </x:c>
      <x:c r="K14" s="198" t="str">
        <x:f>IF(Appeals!I7="","",Appeals!I7)</x:f>
      </x:c>
      <x:c r="L14" s="200"/>
    </x:row>
    <x:row r="15" ht="26.850000381469727" customHeight="1">
      <x:c r="A15" s="207" t="str">
        <x:f>IF(Appeals!A8="","",Appeals!A8)</x:f>
      </x:c>
      <x:c r="B15" s="204"/>
      <x:c r="C15" s="203" t="str">
        <x:f>IF(Appeals!B8="","",Appeals!B8)</x:f>
      </x:c>
      <x:c r="D15" s="204" t="str">
        <x:f>IF(Appeals!C8="","",Appeals!C8)</x:f>
      </x:c>
      <x:c r="E15" s="204"/>
      <x:c r="F15" s="203" t="str">
        <x:f>IF(Appeals!D8="","",Appeals!D8)</x:f>
      </x:c>
      <x:c r="G15" s="208" t="str">
        <x:f>IF(Appeals!E8="","",Appeals!E8)</x:f>
      </x:c>
      <x:c r="H15" s="203" t="str">
        <x:f>IF(Appeals!F8="","",Appeals!F8)</x:f>
      </x:c>
      <x:c r="I15" s="203" t="str">
        <x:f>IF(Appeals!G8="","",Appeals!G8)</x:f>
      </x:c>
      <x:c r="J15" s="205" t="str">
        <x:f>IF(Appeals!H8="","",Appeals!H8)</x:f>
      </x:c>
      <x:c r="K15" s="204" t="str">
        <x:f>IF(Appeals!I8="","",Appeals!I8)</x:f>
      </x:c>
      <x:c r="L15" s="206"/>
    </x:row>
    <x:row r="16" ht="26.850000381469727" customHeight="1">
      <x:c r="A16" s="201" t="str">
        <x:f>IF(Appeals!A9="","",Appeals!A9)</x:f>
      </x:c>
      <x:c r="B16" s="198"/>
      <x:c r="C16" s="197" t="str">
        <x:f>IF(Appeals!B9="","",Appeals!B9)</x:f>
      </x:c>
      <x:c r="D16" s="198" t="str">
        <x:f>IF(Appeals!C9="","",Appeals!C9)</x:f>
      </x:c>
      <x:c r="E16" s="198"/>
      <x:c r="F16" s="197" t="str">
        <x:f>IF(Appeals!D9="","",Appeals!D9)</x:f>
      </x:c>
      <x:c r="G16" s="208" t="str">
        <x:f>IF(Appeals!E9="","",Appeals!E9)</x:f>
      </x:c>
      <x:c r="H16" s="197" t="str">
        <x:f>IF(Appeals!F9="","",Appeals!F9)</x:f>
      </x:c>
      <x:c r="I16" s="197" t="str">
        <x:f>IF(Appeals!G9="","",Appeals!G9)</x:f>
      </x:c>
      <x:c r="J16" s="199" t="str">
        <x:f>IF(Appeals!H9="","",Appeals!H9)</x:f>
      </x:c>
      <x:c r="K16" s="198" t="str">
        <x:f>IF(Appeals!I9="","",Appeals!I9)</x:f>
      </x:c>
      <x:c r="L16" s="200"/>
    </x:row>
    <x:row r="17" ht="26.850000381469727" customHeight="1">
      <x:c r="A17" s="207" t="str">
        <x:f>IF(Appeals!A10="","",Appeals!A10)</x:f>
      </x:c>
      <x:c r="B17" s="204"/>
      <x:c r="C17" s="203" t="str">
        <x:f>IF(Appeals!B10="","",Appeals!B10)</x:f>
      </x:c>
      <x:c r="D17" s="204" t="str">
        <x:f>IF(Appeals!C10="","",Appeals!C10)</x:f>
      </x:c>
      <x:c r="E17" s="204"/>
      <x:c r="F17" s="203" t="str">
        <x:f>IF(Appeals!D10="","",Appeals!D10)</x:f>
      </x:c>
      <x:c r="G17" s="202" t="str">
        <x:f>IF(Appeals!E10="","",Appeals!E10)</x:f>
      </x:c>
      <x:c r="H17" s="203" t="str">
        <x:f>IF(Appeals!F10="","",Appeals!F10)</x:f>
      </x:c>
      <x:c r="I17" s="203" t="str">
        <x:f>IF(Appeals!G10="","",Appeals!G10)</x:f>
      </x:c>
      <x:c r="J17" s="209" t="str">
        <x:f>IF(Appeals!H10="","",Appeals!H10)</x:f>
      </x:c>
      <x:c r="K17" s="204" t="str">
        <x:f>IF(Appeals!I10="","",Appeals!I10)</x:f>
      </x:c>
      <x:c r="L17" s="206"/>
    </x:row>
    <x:row r="18" ht="26.850000381469727" customHeight="1">
      <x:c r="A18" s="201" t="str">
        <x:f>IF(Appeals!A11="","",Appeals!A11)</x:f>
      </x:c>
      <x:c r="B18" s="198"/>
      <x:c r="C18" s="197" t="str">
        <x:f>IF(Appeals!B11="","",Appeals!B11)</x:f>
      </x:c>
      <x:c r="D18" s="198" t="str">
        <x:f>IF(Appeals!C11="","",Appeals!C11)</x:f>
      </x:c>
      <x:c r="E18" s="198"/>
      <x:c r="F18" s="197" t="str">
        <x:f>IF(Appeals!D11="","",Appeals!D11)</x:f>
      </x:c>
      <x:c r="G18" s="202" t="str">
        <x:f>IF(Appeals!E11="","",Appeals!E11)</x:f>
      </x:c>
      <x:c r="H18" s="197" t="str">
        <x:f>IF(Appeals!F11="","",Appeals!F11)</x:f>
      </x:c>
      <x:c r="I18" s="197" t="str">
        <x:f>IF(Appeals!G11="","",Appeals!G11)</x:f>
      </x:c>
      <x:c r="J18" s="210" t="str">
        <x:f>IF(Appeals!H11="","",Appeals!H11)</x:f>
      </x:c>
      <x:c r="K18" s="198" t="str">
        <x:f>IF(Appeals!I11="","",Appeals!I11)</x:f>
      </x:c>
      <x:c r="L18" s="200"/>
    </x:row>
    <x:row r="19" ht="26.850000381469727" customHeight="1">
      <x:c r="A19" s="207" t="str">
        <x:f>IF(Appeals!A12="","",Appeals!A12)</x:f>
      </x:c>
      <x:c r="B19" s="204"/>
      <x:c r="C19" s="203" t="str">
        <x:f>IF(Appeals!B12="","",Appeals!B12)</x:f>
      </x:c>
      <x:c r="D19" s="204" t="str">
        <x:f>IF(Appeals!C12="","",Appeals!C12)</x:f>
      </x:c>
      <x:c r="E19" s="204"/>
      <x:c r="F19" s="203" t="str">
        <x:f>IF(Appeals!D12="","",Appeals!D12)</x:f>
      </x:c>
      <x:c r="G19" s="203" t="str">
        <x:f>IF(Appeals!E12="","",Appeals!E12)</x:f>
      </x:c>
      <x:c r="H19" s="203" t="str">
        <x:f>IF(Appeals!F12="","",Appeals!F12)</x:f>
      </x:c>
      <x:c r="I19" s="203" t="str">
        <x:f>IF(Appeals!G12="","",Appeals!G12)</x:f>
      </x:c>
      <x:c r="J19" s="205" t="str">
        <x:f>IF(Appeals!H12="","",Appeals!H12)</x:f>
      </x:c>
      <x:c r="K19" s="204" t="str">
        <x:f>IF(Appeals!I12="","",Appeals!I12)</x:f>
      </x:c>
      <x:c r="L19" s="206"/>
    </x:row>
    <x:row r="20" ht="26.850000381469727" customHeight="1">
      <x:c r="A20" s="201" t="str">
        <x:f>IF(Appeals!A13="","",Appeals!A13)</x:f>
      </x:c>
      <x:c r="B20" s="198"/>
      <x:c r="C20" s="197" t="str">
        <x:f>IF(Appeals!B13="","",Appeals!B13)</x:f>
      </x:c>
      <x:c r="D20" s="198" t="str">
        <x:f>IF(Appeals!C13="","",Appeals!C13)</x:f>
      </x:c>
      <x:c r="E20" s="198"/>
      <x:c r="F20" s="197" t="str">
        <x:f>IF(Appeals!D13="","",Appeals!D13)</x:f>
      </x:c>
      <x:c r="G20" s="197" t="str">
        <x:f>IF(Appeals!E13="","",Appeals!E13)</x:f>
      </x:c>
      <x:c r="H20" s="197" t="str">
        <x:f>IF(Appeals!F13="","",Appeals!F13)</x:f>
      </x:c>
      <x:c r="I20" s="197" t="str">
        <x:f>IF(Appeals!G13="","",Appeals!G13)</x:f>
      </x:c>
      <x:c r="J20" s="199" t="str">
        <x:f>IF(Appeals!H13="","",Appeals!H13)</x:f>
      </x:c>
      <x:c r="K20" s="198" t="str">
        <x:f>IF(Appeals!I13="","",Appeals!I13)</x:f>
      </x:c>
      <x:c r="L20" s="200"/>
    </x:row>
    <x:row r="21" ht="26.850000381469727" customHeight="1">
      <x:c r="A21" s="207" t="str">
        <x:f>IF(Appeals!A14="","",Appeals!A14)</x:f>
      </x:c>
      <x:c r="B21" s="204"/>
      <x:c r="C21" s="203" t="str">
        <x:f>IF(Appeals!B14="","",Appeals!B14)</x:f>
      </x:c>
      <x:c r="D21" s="204" t="str">
        <x:f>IF(Appeals!C14="","",Appeals!C14)</x:f>
      </x:c>
      <x:c r="E21" s="204"/>
      <x:c r="F21" s="203" t="str">
        <x:f>IF(Appeals!D14="","",Appeals!D14)</x:f>
      </x:c>
      <x:c r="G21" s="203" t="str">
        <x:f>IF(Appeals!E14="","",Appeals!E14)</x:f>
      </x:c>
      <x:c r="H21" s="203" t="str">
        <x:f>IF(Appeals!F14="","",Appeals!F14)</x:f>
      </x:c>
      <x:c r="I21" s="203" t="str">
        <x:f>IF(Appeals!G14="","",Appeals!G14)</x:f>
      </x:c>
      <x:c r="J21" s="205" t="str">
        <x:f>IF(Appeals!H14="","",Appeals!H14)</x:f>
      </x:c>
      <x:c r="K21" s="204" t="str">
        <x:f>IF(Appeals!I14="","",Appeals!I14)</x:f>
      </x:c>
      <x:c r="L21" s="206"/>
    </x:row>
    <x:row r="22" ht="26.850000381469727" customHeight="1">
      <x:c r="A22" s="201" t="str">
        <x:f>IF(Appeals!A15="","",Appeals!A15)</x:f>
      </x:c>
      <x:c r="B22" s="198"/>
      <x:c r="C22" s="197" t="str">
        <x:f>IF(Appeals!B15="","",Appeals!B15)</x:f>
      </x:c>
      <x:c r="D22" s="198" t="str">
        <x:f>IF(Appeals!C15="","",Appeals!C15)</x:f>
      </x:c>
      <x:c r="E22" s="198"/>
      <x:c r="F22" s="197" t="str">
        <x:f>IF(Appeals!D15="","",Appeals!D15)</x:f>
      </x:c>
      <x:c r="G22" s="197" t="str">
        <x:f>IF(Appeals!E15="","",Appeals!E15)</x:f>
      </x:c>
      <x:c r="H22" s="197" t="str">
        <x:f>IF(Appeals!F15="","",Appeals!F15)</x:f>
      </x:c>
      <x:c r="I22" s="197" t="str">
        <x:f>IF(Appeals!G15="","",Appeals!G15)</x:f>
      </x:c>
      <x:c r="J22" s="199" t="str">
        <x:f>IF(Appeals!H15="","",Appeals!H15)</x:f>
      </x:c>
      <x:c r="K22" s="198" t="str">
        <x:f>IF(Appeals!I15="","",Appeals!I15)</x:f>
      </x:c>
      <x:c r="L22" s="200"/>
    </x:row>
    <x:row r="23" ht="26.850000381469727" customHeight="1">
      <x:c r="A23" s="211" t="str">
        <x:f>IF(Appeals!A16="","",Appeals!A16)</x:f>
      </x:c>
      <x:c r="B23" s="212"/>
      <x:c r="C23" s="213" t="str">
        <x:f>IF(Appeals!B16="","",Appeals!B16)</x:f>
      </x:c>
      <x:c r="D23" s="212" t="str">
        <x:f>IF(Appeals!C16="","",Appeals!C16)</x:f>
      </x:c>
      <x:c r="E23" s="212"/>
      <x:c r="F23" s="213" t="str">
        <x:f>IF(Appeals!D16="","",Appeals!D16)</x:f>
      </x:c>
      <x:c r="G23" s="213" t="str">
        <x:f>IF(Appeals!E16="","",Appeals!E16)</x:f>
      </x:c>
      <x:c r="H23" s="213" t="str">
        <x:f>IF(Appeals!F16="","",Appeals!F16)</x:f>
      </x:c>
      <x:c r="I23" s="213" t="str">
        <x:f>IF(Appeals!G16="","",Appeals!G16)</x:f>
      </x:c>
      <x:c r="J23" s="214" t="str">
        <x:f>IF(Appeals!H16="","",Appeals!H16)</x:f>
      </x:c>
      <x:c r="K23" s="212" t="str">
        <x:f>IF(Appeals!I16="","",Appeals!I16)</x:f>
      </x:c>
      <x:c r="L23" s="215"/>
    </x:row>
    <x:row r="24" ht="15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 ht="15">
      <x:c r="A25" s="189" t="s">
        <x:v>344</x:v>
      </x:c>
      <x:c r="B25" s="190"/>
      <x:c r="C25" s="190"/>
      <x:c r="D25" s="190"/>
      <x:c r="E25" s="190"/>
      <x:c r="F25" s="190"/>
      <x:c r="G25" s="190"/>
      <x:c r="H25" s="190"/>
      <x:c r="I25" s="190"/>
      <x:c r="J25" s="190"/>
      <x:c r="K25" s="190"/>
      <x:c r="L25" s="191"/>
    </x:row>
    <x:row r="26">
      <x:c r="A26" s="192" t="str">
        <x:f>IF(COUNTIF(Appeals!A5:A200,"PTAB")=0,"No PTAB docket found by PIN.","PTAB: "&amp;INDEX(Appeals!C5:C200,MATCH("PTAB",Appeals!A5:A200,0))&amp;" - "&amp;INDEX(Appeals!E5:E200,MATCH("PTAB",Appeals!A5:A200,0)))</x:f>
        <x:v>No PTAB docket found by PIN.</x:v>
      </x:c>
      <x:c r="B26" s="193"/>
      <x:c r="C26" s="193"/>
      <x:c r="D26" s="193"/>
      <x:c r="E26" s="193"/>
      <x:c r="F26" s="193"/>
      <x:c r="G26" s="193"/>
      <x:c r="H26" s="193"/>
      <x:c r="I26" s="193"/>
      <x:c r="J26" s="193"/>
      <x:c r="K26" s="193"/>
      <x:c r="L26" s="194"/>
    </x:row>
    <x:row r="27">
      <x:c r="A27" s="195"/>
      <x:c r="B27" s="196"/>
      <x:c r="C27" s="196"/>
      <x:c r="D27" s="196"/>
      <x:c r="E27" s="196"/>
      <x:c r="F27" s="196"/>
      <x:c r="G27" s="196"/>
      <x:c r="H27" s="196"/>
      <x:c r="I27" s="196"/>
      <x:c r="J27" s="196"/>
      <x:c r="K27" s="196"/>
      <x:c r="L27" s="188"/>
    </x:row>
    <x:row r="28" ht="15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 ht="15">
      <x:c r="A29" s="82" t="s">
        <x:v>350</x:v>
      </x:c>
      <x:c r="B29" s="113"/>
      <x:c r="C29" s="113"/>
      <x:c r="D29" s="113"/>
      <x:c r="E29" s="113"/>
      <x:c r="F29" s="113"/>
      <x:c r="G29" s="113"/>
      <x:c r="H29" s="113"/>
      <x:c r="I29" s="113"/>
      <x:c r="J29" s="113"/>
      <x:c r="K29" s="113"/>
      <x:c r="L29" s="114"/>
    </x:row>
    <x:row r="30">
      <x:c r="A30" s="85" t="s">
        <x:v>351</x:v>
      </x:c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7"/>
    </x:row>
    <x:row r="31">
      <x:c r="A31" s="88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7"/>
    </x:row>
    <x:row r="32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91"/>
    </x:row>
    <x:row r="33" ht="15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 ht="15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 ht="1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 ht="15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 ht="15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 ht="15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 ht="15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 ht="15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</x:sheetData>
  <x:mergeCells>
    <x:mergeCell ref="D6:D8"/>
    <x:mergeCell ref="A1:B4"/>
    <x:mergeCell ref="C1:E2"/>
    <x:mergeCell ref="C3:E4"/>
    <x:mergeCell ref="F1:L2"/>
    <x:mergeCell ref="F3:L4"/>
    <x:mergeCell ref="J6:J8"/>
    <x:mergeCell ref="K6:L6"/>
    <x:mergeCell ref="K7:L7"/>
    <x:mergeCell ref="K8:L8"/>
    <x:mergeCell ref="A10:L10"/>
    <x:mergeCell ref="E6:F6"/>
    <x:mergeCell ref="E7:F7"/>
    <x:mergeCell ref="E8:F8"/>
    <x:mergeCell ref="G6:G8"/>
    <x:mergeCell ref="H6:I6"/>
    <x:mergeCell ref="H7:I7"/>
    <x:mergeCell ref="H8:I8"/>
    <x:mergeCell ref="A6:A8"/>
    <x:mergeCell ref="B6:C6"/>
    <x:mergeCell ref="B7:C7"/>
    <x:mergeCell ref="B8:C8"/>
    <x:mergeCell ref="A11:B11"/>
    <x:mergeCell ref="D11:E11"/>
    <x:mergeCell ref="K11:L11"/>
    <x:mergeCell ref="A12:B12"/>
    <x:mergeCell ref="D12:E12"/>
    <x:mergeCell ref="K12:L12"/>
    <x:mergeCell ref="A13:B13"/>
    <x:mergeCell ref="D13:E13"/>
    <x:mergeCell ref="K13:L13"/>
    <x:mergeCell ref="A14:B14"/>
    <x:mergeCell ref="D14:E14"/>
    <x:mergeCell ref="K14:L14"/>
    <x:mergeCell ref="A15:B15"/>
    <x:mergeCell ref="D15:E15"/>
    <x:mergeCell ref="K15:L15"/>
    <x:mergeCell ref="A16:B16"/>
    <x:mergeCell ref="D16:E16"/>
    <x:mergeCell ref="K16:L16"/>
    <x:mergeCell ref="A17:B17"/>
    <x:mergeCell ref="D17:E17"/>
    <x:mergeCell ref="K17:L17"/>
    <x:mergeCell ref="A18:B18"/>
    <x:mergeCell ref="D18:E18"/>
    <x:mergeCell ref="K18:L18"/>
    <x:mergeCell ref="A19:B19"/>
    <x:mergeCell ref="D19:E19"/>
    <x:mergeCell ref="K19:L19"/>
    <x:mergeCell ref="A20:B20"/>
    <x:mergeCell ref="D20:E20"/>
    <x:mergeCell ref="K20:L20"/>
    <x:mergeCell ref="A21:B21"/>
    <x:mergeCell ref="D21:E21"/>
    <x:mergeCell ref="K21:L21"/>
    <x:mergeCell ref="A22:B22"/>
    <x:mergeCell ref="D22:E22"/>
    <x:mergeCell ref="K22:L22"/>
    <x:mergeCell ref="A29:L29"/>
    <x:mergeCell ref="A30:L32"/>
    <x:mergeCell ref="A23:B23"/>
    <x:mergeCell ref="D23:E23"/>
    <x:mergeCell ref="K23:L23"/>
    <x:mergeCell ref="A25:L25"/>
    <x:mergeCell ref="A26:L2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8.875" defaultRowHeight="14.25"/>
  <x:cols>
    <x:col min="1" max="1" width="9" customWidth="1"/>
    <x:col min="2" max="12" width="10" customWidth="1"/>
    <x:col min="13" max="13" width="2" customWidth="1"/>
    <x:col min="14" max="14" width="10" customWidth="1"/>
    <x:col min="15" max="15" width="12" customWidth="1"/>
  </x:cols>
  <x:sheetData>
    <x:row r="1" ht="36" customHeight="1">
      <x:c r="A1" s="106" t="s">
        <x:v>336</x:v>
      </x:c>
      <x:c r="B1" s="107"/>
      <x:c r="C1" s="109" t="str">
        <x:f>IF(Report!B6="","",UPPER(Report!B6))</x:f>
      </x:c>
      <x:c r="D1" s="108"/>
      <x:c r="E1" s="107"/>
      <x:c r="F1" s="111" t="s">
        <x:v>352</x:v>
      </x:c>
      <x:c r="G1" s="108"/>
      <x:c r="H1" s="108"/>
      <x:c r="I1" s="108"/>
      <x:c r="J1" s="108"/>
      <x:c r="K1" s="108"/>
      <x:c r="L1" s="108"/>
      <x:c r="N1" t="str">
        <x:v>Year</x:v>
      </x:c>
      <x:c r="O1" t="str">
        <x:v>Billed</x:v>
      </x:c>
    </x:row>
    <x:row r="2" ht="29.25" customHeight="1">
      <x:c r="A2" s="108"/>
      <x:c r="B2" s="107"/>
      <x:c r="C2" s="108"/>
      <x:c r="D2" s="108"/>
      <x:c r="E2" s="107"/>
      <x:c r="F2" s="108"/>
      <x:c r="G2" s="108"/>
      <x:c r="H2" s="108"/>
      <x:c r="I2" s="108"/>
      <x:c r="J2" s="108"/>
      <x:c r="K2" s="108"/>
      <x:c r="L2" s="108"/>
      <x:c r="N2" t="str">
        <x:f>IF('Tax Detail'!A9="","",'Tax Detail'!A9)</x:f>
      </x:c>
      <x:c r="O2" t="str">
        <x:f>IF('Tax Detail'!D9="","",'Tax Detail'!D9*1)</x:f>
      </x:c>
    </x:row>
    <x:row r="3" ht="26.850000381469727" customHeight="1">
      <x:c r="A3" s="108"/>
      <x:c r="B3" s="107"/>
      <x:c r="C3" s="110" t="str">
        <x:f>IF(Report!B5="","","PIN: "&amp;Report!B5)</x:f>
      </x:c>
      <x:c r="D3" s="108"/>
      <x:c r="E3" s="107"/>
      <x:c r="F3" s="112" t="s">
        <x:v>353</x:v>
      </x:c>
      <x:c r="G3" s="108"/>
      <x:c r="H3" s="108"/>
      <x:c r="I3" s="108"/>
      <x:c r="J3" s="108"/>
      <x:c r="K3" s="108"/>
      <x:c r="L3" s="108"/>
      <x:c r="N3" t="str">
        <x:f>IF('Tax Detail'!A10="","",'Tax Detail'!A10)</x:f>
      </x:c>
      <x:c r="O3" t="str">
        <x:f>IF('Tax Detail'!D10="","",'Tax Detail'!D10*1)</x:f>
      </x:c>
    </x:row>
    <x:row r="4" ht="26.850000381469727" customHeight="1">
      <x:c r="A4" s="108"/>
      <x:c r="B4" s="107"/>
      <x:c r="C4" s="108"/>
      <x:c r="D4" s="108"/>
      <x:c r="E4" s="107"/>
      <x:c r="F4" s="108"/>
      <x:c r="G4" s="108"/>
      <x:c r="H4" s="108"/>
      <x:c r="I4" s="108"/>
      <x:c r="J4" s="108"/>
      <x:c r="K4" s="108"/>
      <x:c r="L4" s="108"/>
      <x:c r="N4" t="str">
        <x:f>IF('Tax Detail'!A11="","",'Tax Detail'!A11)</x:f>
      </x:c>
      <x:c r="O4" t="str">
        <x:f>IF('Tax Detail'!D11="","",'Tax Detail'!D11*1)</x:f>
      </x:c>
    </x:row>
    <x:row r="5" ht="1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N5" t="str">
        <x:f>IF('Tax Detail'!A12="","",'Tax Detail'!A12)</x:f>
      </x:c>
      <x:c r="O5" t="str">
        <x:f>IF('Tax Detail'!D12="","",'Tax Detail'!D12*1)</x:f>
      </x:c>
    </x:row>
    <x:row r="6" ht="26.850000381469727" customHeight="1">
      <x:c r="A6" s="95" t="s">
        <x:v>354</x:v>
      </x:c>
      <x:c r="B6" s="98" t="s">
        <x:v>355</x:v>
      </x:c>
      <x:c r="C6" s="119"/>
      <x:c r="D6" s="95" t="s">
        <x:v>356</x:v>
      </x:c>
      <x:c r="E6" s="98" t="s">
        <x:v>357</x:v>
      </x:c>
      <x:c r="F6" s="119"/>
      <x:c r="G6" s="95" t="s">
        <x:v>358</x:v>
      </x:c>
      <x:c r="H6" s="98" t="s">
        <x:v>329</x:v>
      </x:c>
      <x:c r="I6" s="119"/>
      <x:c r="J6" s="95" t="s">
        <x:v>359</x:v>
      </x:c>
      <x:c r="K6" s="98" t="s">
        <x:v>360</x:v>
      </x:c>
      <x:c r="L6" s="119"/>
      <x:c r="N6" t="str">
        <x:f>IF('Tax Detail'!A13="","",'Tax Detail'!A13)</x:f>
      </x:c>
      <x:c r="O6" t="str">
        <x:f>IF('Tax Detail'!D13="","",'Tax Detail'!D13*1)</x:f>
      </x:c>
    </x:row>
    <x:row r="7" ht="26.850000381469727" customHeight="1">
      <x:c r="A7" s="96"/>
      <x:c r="B7" s="100" t="str">
        <x:f>IF('Tax Detail'!B4="","",'Tax Detail'!B4)</x:f>
      </x:c>
      <x:c r="C7" s="130"/>
      <x:c r="D7" s="96"/>
      <x:c r="E7" s="100" t="str">
        <x:f>IF('Tax Detail'!F4="","",'Tax Detail'!F4)</x:f>
      </x:c>
      <x:c r="F7" s="130"/>
      <x:c r="G7" s="96"/>
      <x:c r="H7" s="100" t="str">
        <x:f>IF('Tax Detail'!D4="","",'Tax Detail'!D4)</x:f>
      </x:c>
      <x:c r="I7" s="130"/>
      <x:c r="J7" s="96"/>
      <x:c r="K7" s="100" t="str">
        <x:f>IF('Tax Detail'!H4="","",'Tax Detail'!H4)</x:f>
      </x:c>
      <x:c r="L7" s="130"/>
      <x:c r="N7" t="str">
        <x:f>IF('Tax Detail'!A14="","",'Tax Detail'!A14)</x:f>
      </x:c>
      <x:c r="O7" t="str">
        <x:f>IF('Tax Detail'!D14="","",'Tax Detail'!D14*1)</x:f>
      </x:c>
    </x:row>
    <x:row r="8" ht="26.850000381469727" customHeight="1">
      <x:c r="A8" s="97"/>
      <x:c r="B8" s="102" t="s">
        <x:v>333</x:v>
      </x:c>
      <x:c r="C8" s="103"/>
      <x:c r="D8" s="97"/>
      <x:c r="E8" s="102"/>
      <x:c r="F8" s="103"/>
      <x:c r="G8" s="97"/>
      <x:c r="H8" s="102" t="s">
        <x:v>361</x:v>
      </x:c>
      <x:c r="I8" s="103"/>
      <x:c r="J8" s="97"/>
      <x:c r="K8" s="102" t="s">
        <x:v>362</x:v>
      </x:c>
      <x:c r="L8" s="103"/>
    </x:row>
    <x:row r="9" ht="15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</x:row>
    <x:row r="10" ht="15">
      <x:c r="A10" s="82" t="s">
        <x:v>363</x:v>
      </x:c>
      <x:c r="B10" s="113"/>
      <x:c r="C10" s="113"/>
      <x:c r="D10" s="113"/>
      <x:c r="E10" s="113"/>
      <x:c r="F10" s="113"/>
      <x:c r="G10" s="113"/>
      <x:c r="H10" s="124"/>
      <x:c r="I10" s="35"/>
      <x:c r="J10" s="35"/>
      <x:c r="K10" s="35"/>
      <x:c r="L10" s="36"/>
    </x:row>
    <x:row r="11" ht="19.5">
      <x:c r="A11" s="37" t="s">
        <x:v>98</x:v>
      </x:c>
      <x:c r="B11" s="38" t="s">
        <x:v>333</x:v>
      </x:c>
      <x:c r="C11" s="38" t="s">
        <x:v>79</x:v>
      </x:c>
      <x:c r="D11" s="38" t="s">
        <x:v>111</x:v>
      </x:c>
      <x:c r="E11" s="38" t="s">
        <x:v>364</x:v>
      </x:c>
      <x:c r="F11" s="38" t="s">
        <x:v>114</x:v>
      </x:c>
      <x:c r="G11" s="38" t="s">
        <x:v>116</x:v>
      </x:c>
      <x:c r="H11" s="28"/>
      <x:c r="I11" s="28"/>
      <x:c r="J11" s="28"/>
      <x:c r="K11" s="28"/>
      <x:c r="L11" s="29"/>
    </x:row>
    <x:row r="12" ht="25.350000381469727" customHeight="1">
      <x:c r="A12" s="216" t="str">
        <x:f>IF('Tax Detail'!A9="","",'Tax Detail'!A9)</x:f>
      </x:c>
      <x:c r="B12" s="217" t="str">
        <x:f>IF('Tax Detail'!B9="","",'Tax Detail'!B9)</x:f>
      </x:c>
      <x:c r="C12" s="217" t="str">
        <x:f>IF('Tax Detail'!C9="","",'Tax Detail'!C9)</x:f>
      </x:c>
      <x:c r="D12" s="217" t="str">
        <x:f>IF('Tax Detail'!D9="","",'Tax Detail'!D9)</x:f>
      </x:c>
      <x:c r="E12" s="217" t="str">
        <x:f>IF('Tax Detail'!E9="","",'Tax Detail'!E9)</x:f>
      </x:c>
      <x:c r="F12" s="217" t="str">
        <x:f>IF('Tax Detail'!F9="","",'Tax Detail'!F9)</x:f>
      </x:c>
      <x:c r="G12" s="218" t="str">
        <x:f>IF('Tax Detail'!G9="","",IF(ISNUMBER(SEARCH("HAS NOT OCCURRED",UPPER('Tax Detail'!G9))),"No Tax Sale",IF(ISNUMBER(SEARCH("PAID BY TAX BUYER",UPPER('Tax Detail'!G9))),"Tax Buyer - Review",IF(ISNUMBER(SEARCH("SOLD AND REDEEMED",UPPER('Tax Detail'!G9))),"Sold / Redeemed - Review",IF(ISNUMBER(SEARCH("REVIEW",UPPER('Tax Detail'!G9))),"Review Required",'Tax Detail'!G9)))))</x:f>
      </x:c>
      <x:c r="H12" s="28"/>
      <x:c r="I12" s="28"/>
      <x:c r="J12" s="28"/>
      <x:c r="K12" s="28"/>
      <x:c r="L12" s="29"/>
    </x:row>
    <x:row r="13" ht="25.350000381469727" customHeight="1">
      <x:c r="A13" s="219" t="str">
        <x:f>IF('Tax Detail'!A10="","",'Tax Detail'!A10)</x:f>
      </x:c>
      <x:c r="B13" s="220" t="str">
        <x:f>IF('Tax Detail'!B10="","",'Tax Detail'!B10)</x:f>
      </x:c>
      <x:c r="C13" s="220" t="str">
        <x:f>IF('Tax Detail'!C10="","",'Tax Detail'!C10)</x:f>
      </x:c>
      <x:c r="D13" s="220" t="str">
        <x:f>IF('Tax Detail'!D10="","",'Tax Detail'!D10)</x:f>
      </x:c>
      <x:c r="E13" s="218" t="str">
        <x:f>IF('Tax Detail'!E10="","",'Tax Detail'!E10)</x:f>
      </x:c>
      <x:c r="F13" s="220" t="str">
        <x:f>IF('Tax Detail'!F10="","",'Tax Detail'!F10)</x:f>
      </x:c>
      <x:c r="G13" s="218" t="str">
        <x:f>IF('Tax Detail'!G10="","",IF(ISNUMBER(SEARCH("HAS NOT OCCURRED",UPPER('Tax Detail'!G10))),"No Tax Sale",IF(ISNUMBER(SEARCH("PAID BY TAX BUYER",UPPER('Tax Detail'!G10))),"Tax Buyer - Review",IF(ISNUMBER(SEARCH("SOLD AND REDEEMED",UPPER('Tax Detail'!G10))),"Sold / Redeemed - Review",IF(ISNUMBER(SEARCH("REVIEW",UPPER('Tax Detail'!G10))),"Review Required",'Tax Detail'!G10)))))</x:f>
      </x:c>
      <x:c r="H13" s="28"/>
      <x:c r="I13" s="28"/>
      <x:c r="J13" s="28"/>
      <x:c r="K13" s="28"/>
      <x:c r="L13" s="29"/>
    </x:row>
    <x:row r="14" ht="25.350000381469727" customHeight="1">
      <x:c r="A14" s="216" t="str">
        <x:f>IF('Tax Detail'!A11="","",'Tax Detail'!A11)</x:f>
      </x:c>
      <x:c r="B14" s="217" t="str">
        <x:f>IF('Tax Detail'!B11="","",'Tax Detail'!B11)</x:f>
      </x:c>
      <x:c r="C14" s="217" t="str">
        <x:f>IF('Tax Detail'!C11="","",'Tax Detail'!C11)</x:f>
      </x:c>
      <x:c r="D14" s="217" t="str">
        <x:f>IF('Tax Detail'!D11="","",'Tax Detail'!D11)</x:f>
      </x:c>
      <x:c r="E14" s="218" t="str">
        <x:f>IF('Tax Detail'!E11="","",'Tax Detail'!E11)</x:f>
      </x:c>
      <x:c r="F14" s="217" t="str">
        <x:f>IF('Tax Detail'!F11="","",'Tax Detail'!F11)</x:f>
      </x:c>
      <x:c r="G14" s="221" t="str">
        <x:f>IF('Tax Detail'!G11="","",IF(ISNUMBER(SEARCH("HAS NOT OCCURRED",UPPER('Tax Detail'!G11))),"No Tax Sale",IF(ISNUMBER(SEARCH("PAID BY TAX BUYER",UPPER('Tax Detail'!G11))),"Tax Buyer - Review",IF(ISNUMBER(SEARCH("SOLD AND REDEEMED",UPPER('Tax Detail'!G11))),"Sold / Redeemed - Review",IF(ISNUMBER(SEARCH("REVIEW",UPPER('Tax Detail'!G11))),"Review Required",'Tax Detail'!G11)))))</x:f>
      </x:c>
      <x:c r="H14" s="28"/>
      <x:c r="I14" s="28"/>
      <x:c r="J14" s="28"/>
      <x:c r="K14" s="28"/>
      <x:c r="L14" s="29"/>
    </x:row>
    <x:row r="15" ht="25.350000381469727" customHeight="1">
      <x:c r="A15" s="219" t="str">
        <x:f>IF('Tax Detail'!A12="","",'Tax Detail'!A12)</x:f>
      </x:c>
      <x:c r="B15" s="220" t="str">
        <x:f>IF('Tax Detail'!B12="","",'Tax Detail'!B12)</x:f>
      </x:c>
      <x:c r="C15" s="220" t="str">
        <x:f>IF('Tax Detail'!C12="","",'Tax Detail'!C12)</x:f>
      </x:c>
      <x:c r="D15" s="220" t="str">
        <x:f>IF('Tax Detail'!D12="","",'Tax Detail'!D12)</x:f>
      </x:c>
      <x:c r="E15" s="220" t="str">
        <x:f>IF('Tax Detail'!E12="","",'Tax Detail'!E12)</x:f>
      </x:c>
      <x:c r="F15" s="220" t="str">
        <x:f>IF('Tax Detail'!F12="","",'Tax Detail'!F12)</x:f>
      </x:c>
      <x:c r="G15" s="221" t="str">
        <x:f>IF('Tax Detail'!G12="","",IF(ISNUMBER(SEARCH("HAS NOT OCCURRED",UPPER('Tax Detail'!G12))),"No Tax Sale",IF(ISNUMBER(SEARCH("PAID BY TAX BUYER",UPPER('Tax Detail'!G12))),"Tax Buyer - Review",IF(ISNUMBER(SEARCH("SOLD AND REDEEMED",UPPER('Tax Detail'!G12))),"Sold / Redeemed - Review",IF(ISNUMBER(SEARCH("REVIEW",UPPER('Tax Detail'!G12))),"Review Required",'Tax Detail'!G12)))))</x:f>
      </x:c>
      <x:c r="H15" s="28"/>
      <x:c r="I15" s="28"/>
      <x:c r="J15" s="28"/>
      <x:c r="K15" s="28"/>
      <x:c r="L15" s="29"/>
    </x:row>
    <x:row r="16" ht="25.350000381469727" customHeight="1">
      <x:c r="A16" s="216" t="str">
        <x:f>IF('Tax Detail'!A13="","",'Tax Detail'!A13)</x:f>
      </x:c>
      <x:c r="B16" s="217" t="str">
        <x:f>IF('Tax Detail'!B13="","",'Tax Detail'!B13)</x:f>
      </x:c>
      <x:c r="C16" s="217" t="str">
        <x:f>IF('Tax Detail'!C13="","",'Tax Detail'!C13)</x:f>
      </x:c>
      <x:c r="D16" s="217" t="str">
        <x:f>IF('Tax Detail'!D13="","",'Tax Detail'!D13)</x:f>
      </x:c>
      <x:c r="E16" s="217" t="str">
        <x:f>IF('Tax Detail'!E13="","",'Tax Detail'!E13)</x:f>
      </x:c>
      <x:c r="F16" s="217" t="str">
        <x:f>IF('Tax Detail'!F13="","",'Tax Detail'!F13)</x:f>
      </x:c>
      <x:c r="G16" s="221" t="str">
        <x:f>IF('Tax Detail'!G13="","",IF(ISNUMBER(SEARCH("HAS NOT OCCURRED",UPPER('Tax Detail'!G13))),"No Tax Sale",IF(ISNUMBER(SEARCH("PAID BY TAX BUYER",UPPER('Tax Detail'!G13))),"Tax Buyer - Review",IF(ISNUMBER(SEARCH("SOLD AND REDEEMED",UPPER('Tax Detail'!G13))),"Sold / Redeemed - Review",IF(ISNUMBER(SEARCH("REVIEW",UPPER('Tax Detail'!G13))),"Review Required",'Tax Detail'!G13)))))</x:f>
      </x:c>
      <x:c r="H16" s="28"/>
      <x:c r="I16" s="28"/>
      <x:c r="J16" s="28"/>
      <x:c r="K16" s="28"/>
      <x:c r="L16" s="29"/>
    </x:row>
    <x:row r="17" ht="25.350000381469727" customHeight="1">
      <x:c r="A17" s="219" t="str">
        <x:f>IF('Tax Detail'!A14="","",'Tax Detail'!A14)</x:f>
      </x:c>
      <x:c r="B17" s="220" t="str">
        <x:f>IF('Tax Detail'!B14="","",'Tax Detail'!B14)</x:f>
      </x:c>
      <x:c r="C17" s="220" t="str">
        <x:f>IF('Tax Detail'!C14="","",'Tax Detail'!C14)</x:f>
      </x:c>
      <x:c r="D17" s="220" t="str">
        <x:f>IF('Tax Detail'!D14="","",'Tax Detail'!D14)</x:f>
      </x:c>
      <x:c r="E17" s="220" t="str">
        <x:f>IF('Tax Detail'!E14="","",'Tax Detail'!E14)</x:f>
      </x:c>
      <x:c r="F17" s="220" t="str">
        <x:f>IF('Tax Detail'!F14="","",'Tax Detail'!F14)</x:f>
      </x:c>
      <x:c r="G17" s="221" t="str">
        <x:f>IF('Tax Detail'!G14="","",IF(ISNUMBER(SEARCH("HAS NOT OCCURRED",UPPER('Tax Detail'!G14))),"No Tax Sale",IF(ISNUMBER(SEARCH("PAID BY TAX BUYER",UPPER('Tax Detail'!G14))),"Tax Buyer - Review",IF(ISNUMBER(SEARCH("SOLD AND REDEEMED",UPPER('Tax Detail'!G14))),"Sold / Redeemed - Review",IF(ISNUMBER(SEARCH("REVIEW",UPPER('Tax Detail'!G14))),"Review Required",'Tax Detail'!G14)))))</x:f>
      </x:c>
      <x:c r="H17" s="28"/>
      <x:c r="I17" s="28"/>
      <x:c r="J17" s="28"/>
      <x:c r="K17" s="28"/>
      <x:c r="L17" s="29"/>
    </x:row>
    <x:row r="18" ht="15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3"/>
    </x:row>
    <x:row r="19" ht="15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 ht="15">
      <x:c r="A20" s="1105" t="str">
        <x:v>CURRENT ASSESSMENT / ESTIMATED TAX POSITION</x:v>
      </x:c>
      <x:c r="B20" s="1106"/>
      <x:c r="C20" s="1106"/>
      <x:c r="D20" s="1106"/>
      <x:c r="E20" s="1106"/>
      <x:c r="F20" s="1106"/>
      <x:c r="G20" s="1106"/>
      <x:c r="H20" s="1106"/>
      <x:c r="I20" s="1106"/>
      <x:c r="J20" s="1106"/>
      <x:c r="K20" s="1106"/>
      <x:c r="L20" s="1107"/>
    </x:row>
    <x:row r="21" ht="18.75">
      <x:c r="A21" s="1145" t="str">
        <x:v>CURRENT ASSESSED VALUE ($)</x:v>
      </x:c>
      <x:c r="B21" s="1137"/>
      <x:c r="C21" s="1138"/>
      <x:c r="D21" s="1145" t="str">
        <x:v>EST. MARKET VALUE ($)</x:v>
      </x:c>
      <x:c r="E21" s="1137"/>
      <x:c r="F21" s="1138"/>
      <x:c r="G21" s="1145" t="str">
        <x:v>LATEST TAX RATE</x:v>
      </x:c>
      <x:c r="H21" s="1137"/>
      <x:c r="I21" s="1138"/>
      <x:c r="J21" s="1145" t="str">
        <x:v>EST. GROSS TAXES*</x:v>
      </x:c>
      <x:c r="K21" s="1137"/>
      <x:c r="L21" s="1138"/>
    </x:row>
    <x:row r="22">
      <x:c r="A22" s="1147" t="str">
        <x:f>IF('Tax Detail'!B18="","",'Tax Detail'!B18)</x:f>
      </x:c>
      <x:c r="B22" s="1140"/>
      <x:c r="C22" s="1141"/>
      <x:c r="D22" s="1147" t="str">
        <x:f>IF('Tax Detail'!H18="","",'Tax Detail'!H18)</x:f>
      </x:c>
      <x:c r="E22" s="1140"/>
      <x:c r="F22" s="1141"/>
      <x:c r="G22" s="1149" t="str">
        <x:f>IF('Tax Detail'!D19="","",'Tax Detail'!D19)</x:f>
      </x:c>
      <x:c r="H22" s="1140"/>
      <x:c r="I22" s="1141"/>
      <x:c r="J22" s="1150" t="str">
        <x:f>IF('Tax Detail'!B20="","",'Tax Detail'!B20)</x:f>
      </x:c>
      <x:c r="K22" s="1140"/>
      <x:c r="L22" s="1141"/>
    </x:row>
    <x:row r="23">
      <x:c r="A23" s="1148" t="str">
        <x:v>Current CookViewer AV</x:v>
      </x:c>
      <x:c r="B23" s="1143"/>
      <x:c r="C23" s="1144"/>
      <x:c r="D23" s="1148" t="str">
        <x:v>Class-based; override available</x:v>
      </x:c>
      <x:c r="E23" s="1143"/>
      <x:c r="F23" s="1144"/>
      <x:c r="G23" s="1148" t="str">
        <x:v>Most recent common rate year</x:v>
      </x:c>
      <x:c r="H23" s="1143"/>
      <x:c r="I23" s="1144"/>
      <x:c r="J23" s="1148" t="str">
        <x:v>Before exemptions</x:v>
      </x:c>
      <x:c r="K23" s="1143"/>
      <x:c r="L23" s="1144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18">
      <x:c r="A25" s="1153" t="str">
        <x:v>Assessment Level</x:v>
      </x:c>
      <x:c r="B25" s="1153"/>
      <x:c r="C25" s="1153" t="str">
        <x:v>State Equalizer</x:v>
      </x:c>
      <x:c r="D25" s="1153"/>
      <x:c r="E25" s="1153" t="str">
        <x:v>Estimated EAV</x:v>
      </x:c>
      <x:c r="F25" s="1153"/>
      <x:c r="G25" s="1153" t="str">
        <x:v>Estimate Basis Year</x:v>
      </x:c>
      <x:c r="H25" s="1153"/>
      <x:c r="I25" s="1153" t="str">
        <x:v>Actual Latest Bill</x:v>
      </x:c>
      <x:c r="J25" s="1153"/>
      <x:c r="K25" s="1153" t="str">
        <x:v>Tax Code</x:v>
      </x:c>
      <x:c r="L25" s="1153"/>
    </x:row>
    <x:row r="26" ht="18">
      <x:c r="A26" s="1157" t="str">
        <x:f>IF('Tax Detail'!F18="","",'Tax Detail'!F18)</x:f>
      </x:c>
      <x:c r="B26" s="1157"/>
      <x:c r="C26" s="1158" t="str">
        <x:f>IF('Tax Detail'!F19="","",'Tax Detail'!F19)</x:f>
      </x:c>
      <x:c r="D26" s="1158"/>
      <x:c r="E26" s="1159" t="str">
        <x:f>IF('Tax Detail'!H19="","",'Tax Detail'!H19)</x:f>
      </x:c>
      <x:c r="F26" s="1159"/>
      <x:c r="G26" s="1160" t="str">
        <x:f>IF('Tax Detail'!B19="","",'Tax Detail'!B19)</x:f>
      </x:c>
      <x:c r="H26" s="1160"/>
      <x:c r="I26" s="1161" t="str">
        <x:f>IF('Tax Detail'!F20="","",'Tax Detail'!F20)</x:f>
      </x:c>
      <x:c r="J26" s="1161"/>
      <x:c r="K26" s="1162" t="str">
        <x:f>IF('Tax Detail'!D4="","",'Tax Detail'!D4)</x:f>
      </x:c>
      <x:c r="L26" s="1162"/>
    </x:row>
    <x:row r="27" ht="18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15">
      <x:c r="A28" s="1166" t="str">
        <x:v>ESTIMATE METHOD: Current assessed value x final Cook County state equalizer x composite tax rate / 100. The model uses the most recent year for which both the tax rate and final equalizer are available (2025 when present; 2024 fallback). This is a gross estimate before exemptions and is not a prediction of the final bill. Estimated market value uses standard Cook County assessment levels for Classes 1-5; incentive/special classes can use the Config override.</x:v>
      </x:c>
      <x:c r="B28" s="1166"/>
      <x:c r="C28" s="1166"/>
      <x:c r="D28" s="1166"/>
      <x:c r="E28" s="1166"/>
      <x:c r="F28" s="1166"/>
      <x:c r="G28" s="1166"/>
      <x:c r="H28" s="1166"/>
      <x:c r="I28" s="1166"/>
      <x:c r="J28" s="1166"/>
      <x:c r="K28" s="1166"/>
      <x:c r="L28" s="1166"/>
    </x:row>
    <x:row r="29" ht="15">
      <x:c r="A29" s="1166"/>
      <x:c r="B29" s="1166"/>
      <x:c r="C29" s="1166"/>
      <x:c r="D29" s="1166"/>
      <x:c r="E29" s="1166"/>
      <x:c r="F29" s="1166"/>
      <x:c r="G29" s="1166"/>
      <x:c r="H29" s="1166"/>
      <x:c r="I29" s="1166"/>
      <x:c r="J29" s="1166"/>
      <x:c r="K29" s="1166"/>
      <x:c r="L29" s="1166"/>
    </x:row>
    <x:row r="30" ht="15">
      <x:c r="A30" s="1166"/>
      <x:c r="B30" s="1166"/>
      <x:c r="C30" s="1166"/>
      <x:c r="D30" s="1166"/>
      <x:c r="E30" s="1166"/>
      <x:c r="F30" s="1166"/>
      <x:c r="G30" s="1166"/>
      <x:c r="H30" s="1166"/>
      <x:c r="I30" s="1166"/>
      <x:c r="J30" s="1166"/>
      <x:c r="K30" s="1166"/>
      <x:c r="L30" s="1166"/>
    </x:row>
    <x:row r="31" ht="15">
      <x:c r="A31" s="1166"/>
      <x:c r="B31" s="1166"/>
      <x:c r="C31" s="1166"/>
      <x:c r="D31" s="1166"/>
      <x:c r="E31" s="1166"/>
      <x:c r="F31" s="1166"/>
      <x:c r="G31" s="1166"/>
      <x:c r="H31" s="1166"/>
      <x:c r="I31" s="1166"/>
      <x:c r="J31" s="1166"/>
      <x:c r="K31" s="1166"/>
      <x:c r="L31" s="1166"/>
    </x:row>
    <x:row r="32" ht="22.5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22.5">
      <x:c r="A33" s="1167" t="str">
        <x:v>OPTIONAL TREASURER MANUAL CROSS-CHECK</x:v>
      </x:c>
      <x:c r="B33" s="1167"/>
      <x:c r="C33" s="1167"/>
      <x:c r="D33" s="1167"/>
      <x:c r="E33" s="1167"/>
      <x:c r="F33" s="1167"/>
      <x:c r="G33" s="1167"/>
      <x:c r="H33" s="1167"/>
      <x:c r="I33" s="1167"/>
      <x:c r="J33" s="1167"/>
      <x:c r="K33" s="1167"/>
      <x:c r="L33" s="1167"/>
    </x:row>
    <x:row r="34" ht="15">
      <x:c r="A34" s="1170" t="str">
        <x:v>Windows build: Treasurer is intentionally manual because its session-sensitive search is not reliable for automated work-computer runs. Official search: https://www.cookcountytreasurer.com/setsearchparameters.aspx</x:v>
      </x:c>
      <x:c r="B34" s="1170"/>
      <x:c r="C34" s="1170"/>
      <x:c r="D34" s="1170"/>
      <x:c r="E34" s="1170"/>
      <x:c r="F34" s="1170"/>
      <x:c r="G34" s="1170"/>
      <x:c r="H34" s="1170"/>
      <x:c r="I34" s="1170"/>
      <x:c r="J34" s="1170"/>
      <x:c r="K34" s="1170"/>
      <x:c r="L34" s="1170"/>
    </x:row>
    <x:row r="35" ht="15">
      <x:c r="A35" s="1170"/>
      <x:c r="B35" s="1170"/>
      <x:c r="C35" s="1170"/>
      <x:c r="D35" s="1170"/>
      <x:c r="E35" s="1170"/>
      <x:c r="F35" s="1170"/>
      <x:c r="G35" s="1170"/>
      <x:c r="H35" s="1170"/>
      <x:c r="I35" s="1170"/>
      <x:c r="J35" s="1170"/>
      <x:c r="K35" s="1170"/>
      <x:c r="L35" s="1170"/>
    </x:row>
    <x:row r="36" ht="15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 ht="15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 ht="15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 ht="15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 ht="15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</x:sheetData>
  <x:mergeCells>
    <x:mergeCell ref="D6:D8"/>
    <x:mergeCell ref="A1:B4"/>
    <x:mergeCell ref="C1:E2"/>
    <x:mergeCell ref="C3:E4"/>
    <x:mergeCell ref="F1:L2"/>
    <x:mergeCell ref="F3:L4"/>
    <x:mergeCell ref="J6:J8"/>
    <x:mergeCell ref="K6:L6"/>
    <x:mergeCell ref="K7:L7"/>
    <x:mergeCell ref="K8:L8"/>
    <x:mergeCell ref="A10:H10"/>
    <x:mergeCell ref="E6:F6"/>
    <x:mergeCell ref="E7:F7"/>
    <x:mergeCell ref="E8:F8"/>
    <x:mergeCell ref="G6:G8"/>
    <x:mergeCell ref="H6:I6"/>
    <x:mergeCell ref="H7:I7"/>
    <x:mergeCell ref="H8:I8"/>
    <x:mergeCell ref="A6:A8"/>
    <x:mergeCell ref="B6:C6"/>
    <x:mergeCell ref="B7:C7"/>
    <x:mergeCell ref="B8:C8"/>
    <x:mergeCell ref="A20:L20"/>
    <x:mergeCell ref="A21:C21"/>
    <x:mergeCell ref="A22:C22"/>
    <x:mergeCell ref="A23:C23"/>
    <x:mergeCell ref="D21:F21"/>
    <x:mergeCell ref="D22:F22"/>
    <x:mergeCell ref="D23:F23"/>
    <x:mergeCell ref="G21:I21"/>
    <x:mergeCell ref="G22:I22"/>
    <x:mergeCell ref="G23:I23"/>
    <x:mergeCell ref="J21:L21"/>
    <x:mergeCell ref="J22:L22"/>
    <x:mergeCell ref="J23:L23"/>
    <x:mergeCell ref="A25:B25"/>
    <x:mergeCell ref="A26:B26"/>
    <x:mergeCell ref="C25:D25"/>
    <x:mergeCell ref="C26:D26"/>
    <x:mergeCell ref="E25:F25"/>
    <x:mergeCell ref="E26:F26"/>
    <x:mergeCell ref="G25:H25"/>
    <x:mergeCell ref="G26:H26"/>
    <x:mergeCell ref="I25:J25"/>
    <x:mergeCell ref="I26:J26"/>
    <x:mergeCell ref="K25:L25"/>
    <x:mergeCell ref="K26:L26"/>
    <x:mergeCell ref="A28:L31"/>
    <x:mergeCell ref="A33:L33"/>
    <x:mergeCell ref="A34:L35"/>
  </x:mergeCells>
  <x:pageMargins left="0.7" right="0.7" top="0.75" bottom="0.75" header="0.3" footer="0.3"/>
  <x:drawing xmlns:r="http://schemas.openxmlformats.org/officeDocument/2006/relationships" r:id="Rb6e8dc775a14434a"/>
</x:worksheet>
</file>